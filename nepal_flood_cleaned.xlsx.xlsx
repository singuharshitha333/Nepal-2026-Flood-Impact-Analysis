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9c251fc57864fd2/Documents/Nepal-Flood-Impact-Analysis/data/"/>
    </mc:Choice>
  </mc:AlternateContent>
  <xr:revisionPtr revIDLastSave="142" documentId="8_{53B223AC-A965-44AB-9915-6C3FB159DF69}" xr6:coauthVersionLast="47" xr6:coauthVersionMax="47" xr10:uidLastSave="{4E62D73D-46E2-4375-8C5A-E7B4C3E2F0A8}"/>
  <bookViews>
    <workbookView xWindow="-96" yWindow="0" windowWidth="13908" windowHeight="12336" tabRatio="844" activeTab="1" xr2:uid="{00000000-000D-0000-FFFF-FFFF00000000}"/>
  </bookViews>
  <sheets>
    <sheet name="README" sheetId="17" r:id="rId1"/>
    <sheet name="Dashboard" sheetId="24" r:id="rId2"/>
    <sheet name="building_damage" sheetId="18" r:id="rId3"/>
    <sheet name="building_aoi" sheetId="19" r:id="rId4"/>
    <sheet name="transportation_impact" sheetId="20" r:id="rId5"/>
    <sheet name="landuse_impact" sheetId="21" r:id="rId6"/>
    <sheet name="project_summary" sheetId="23" r:id="rId7"/>
    <sheet name="facilities_impact" sheetId="22" r:id="rId8"/>
    <sheet name="Info_Grading" sheetId="1" r:id="rId9"/>
    <sheet name="Grading" sheetId="2" r:id="rId10"/>
    <sheet name="Pop_Statistics" sheetId="3" r:id="rId11"/>
    <sheet name="_observedEventA_v1_aoi" sheetId="4" r:id="rId12"/>
    <sheet name="_builtUpP_m_v1_aoi" sheetId="5" r:id="rId13"/>
    <sheet name="_builtUpP_m_v1_aff" sheetId="6" r:id="rId14"/>
    <sheet name="_transportationA_m_v1_aoi" sheetId="7" r:id="rId15"/>
    <sheet name="_transportationA_m_v1_aff" sheetId="8" r:id="rId16"/>
    <sheet name="_transportationL_m_v1_aoi" sheetId="9" r:id="rId17"/>
    <sheet name="_transportationL_m_v1_aff" sheetId="10" r:id="rId18"/>
    <sheet name="_transportationP_m_v1_aoi" sheetId="11" r:id="rId19"/>
    <sheet name="_transportationP_m_v1_aff" sheetId="12" r:id="rId20"/>
    <sheet name="_facilitiesA_m_v1_aoi" sheetId="13" r:id="rId21"/>
    <sheet name="_facilitiesA_m_v1_aff" sheetId="14" r:id="rId22"/>
    <sheet name="_naturalLandUseA_v1_aoi" sheetId="15" r:id="rId23"/>
    <sheet name="_naturalLandUseA_v1_aff" sheetId="16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9" l="1"/>
  <c r="G5" i="19"/>
  <c r="G6" i="19"/>
  <c r="G4" i="19"/>
  <c r="G3" i="19"/>
  <c r="G2" i="19"/>
  <c r="G7" i="18"/>
  <c r="G6" i="18"/>
  <c r="G5" i="18"/>
  <c r="G4" i="18"/>
  <c r="G3" i="18"/>
  <c r="G2" i="18"/>
  <c r="F4" i="3"/>
  <c r="A54" i="2"/>
  <c r="A50" i="2"/>
  <c r="A49" i="2"/>
  <c r="A33" i="2"/>
  <c r="A32" i="2"/>
</calcChain>
</file>

<file path=xl/sharedStrings.xml><?xml version="1.0" encoding="utf-8"?>
<sst xmlns="http://schemas.openxmlformats.org/spreadsheetml/2006/main" count="743" uniqueCount="238">
  <si>
    <t>Consequences Table - Grading</t>
  </si>
  <si>
    <t xml:space="preserve">The tables provide summary figures specifically detailing the exposed population, assets, and land use within the Area of Interest (AOI). </t>
  </si>
  <si>
    <t>Additionally, it depicts the extent of the event and estimations of the damage levels of assets and land use</t>
  </si>
  <si>
    <t xml:space="preserve"> - Each sheet displays figures for individual layers, differentiated according to the whole AOI (_aoi) and the affected area (_aff). </t>
  </si>
  <si>
    <t xml:space="preserve"> - In cases where no reference products were produced, the numbers of the entire AOI may be incomplete, as the features are directly derived from OSM and have not undergone further refinement.</t>
  </si>
  <si>
    <t>EMSR927 AOI: 01 Syapru Besi Grading</t>
  </si>
  <si>
    <t>Consequences within the AOI</t>
  </si>
  <si>
    <t>LATEST IMPACT</t>
  </si>
  <si>
    <t xml:space="preserve">Unit of measurement </t>
  </si>
  <si>
    <t>Imagery-based observation</t>
  </si>
  <si>
    <t>Crisis information</t>
  </si>
  <si>
    <t>Landslide</t>
  </si>
  <si>
    <t>ha</t>
  </si>
  <si>
    <t>Destroyed</t>
  </si>
  <si>
    <t>Damaged</t>
  </si>
  <si>
    <t>Possibly damaged*</t>
  </si>
  <si>
    <t>Total affected**</t>
  </si>
  <si>
    <t>Total in AOI</t>
  </si>
  <si>
    <t>Estimated population</t>
  </si>
  <si>
    <t>Inhabitants</t>
  </si>
  <si>
    <t>No.</t>
  </si>
  <si>
    <t>Assets</t>
  </si>
  <si>
    <t>Built-up</t>
  </si>
  <si>
    <t>Residential Buildings</t>
  </si>
  <si>
    <t>Institutional</t>
  </si>
  <si>
    <t>School, university and research buildings</t>
  </si>
  <si>
    <t>Other non-residential buildings</t>
  </si>
  <si>
    <t>Buildings used as places of worship and for religious activities</t>
  </si>
  <si>
    <t>Transportation</t>
  </si>
  <si>
    <t>Helipad</t>
  </si>
  <si>
    <t>Primary Road</t>
  </si>
  <si>
    <t>km</t>
  </si>
  <si>
    <t>Local Road</t>
  </si>
  <si>
    <t>Cart Track</t>
  </si>
  <si>
    <t>Bridges and elevated highways</t>
  </si>
  <si>
    <t>Facilities</t>
  </si>
  <si>
    <t>Power plant constructions</t>
  </si>
  <si>
    <t>Land use</t>
  </si>
  <si>
    <t xml:space="preserve">Forests </t>
  </si>
  <si>
    <t>Shrub and/or herbaceous vegetation association</t>
  </si>
  <si>
    <t xml:space="preserve">Inland wetlands </t>
  </si>
  <si>
    <t>Other</t>
  </si>
  <si>
    <t xml:space="preserve">Heterogeneous agricultural areas </t>
  </si>
  <si>
    <t>* Presence of damage proxies and proximity with destroyed/damaged asset</t>
  </si>
  <si>
    <t>** Sum of all damage classes</t>
  </si>
  <si>
    <t>Disclaimer:</t>
  </si>
  <si>
    <t>Full disclaimer and other helpful information available in the online manual:</t>
  </si>
  <si>
    <t>Access to the portal</t>
  </si>
  <si>
    <t>Data Access:</t>
  </si>
  <si>
    <t xml:space="preserve">All data displayed on the map(s), as well as Land Use - Land Cover layer(s), </t>
  </si>
  <si>
    <t xml:space="preserve">are available in the Crisis Information Package and the Base Layer Package (for reference data). </t>
  </si>
  <si>
    <t>The table above is available in editable format in the Crisis Information Package.</t>
  </si>
  <si>
    <t>All products and data are also available for download on the portal.</t>
  </si>
  <si>
    <t>Estimated Population:</t>
  </si>
  <si>
    <t>Estimated population is based on Copernicus Global Human Settlement Layer (GHSL) dataset.</t>
  </si>
  <si>
    <t>Additional population datasets and analysis are available in the summary table.</t>
  </si>
  <si>
    <t>Data Sources:</t>
  </si>
  <si>
    <t>Globe Land 30 (2010), Copernicus Global Land Service: Land Cover (2019).</t>
  </si>
  <si>
    <t>Inset Maps: Natural Earth 2023; HydroLAKES 2016 by HydroSHEDS;</t>
  </si>
  <si>
    <t>Digital Elevation Model:</t>
  </si>
  <si>
    <t>FABDEM (ForestAndBuildingsremovedCopernicusDEM) removes building and tree height biases from the Copernicus GLO 30</t>
  </si>
  <si>
    <t>Digital Elevation Model (DEM) (Airbus, 2020).</t>
  </si>
  <si>
    <t>AOI: 01 Syapru Besi</t>
  </si>
  <si>
    <t>Data Source</t>
  </si>
  <si>
    <t>GHS_POP_E2020_GLOBE_R2023A_4326_3ss_v1-0</t>
  </si>
  <si>
    <t>GPW_v4_Population_Count_Rev11_2020</t>
  </si>
  <si>
    <t>Landscan-Global-2022</t>
  </si>
  <si>
    <t>WorldPop_Constrained_UNadj_2025</t>
  </si>
  <si>
    <t>WorldPop_Unconstrained_UNadj_2020</t>
  </si>
  <si>
    <t>Mean</t>
  </si>
  <si>
    <t>Stdev</t>
  </si>
  <si>
    <t>CV in %</t>
  </si>
  <si>
    <t>Reliability</t>
  </si>
  <si>
    <t>Citations</t>
  </si>
  <si>
    <t>GHS-POP R2023A - GHS population grid (2023). European Commission, Joint Research Centre (JRC)</t>
  </si>
  <si>
    <t>Center for International Earth Science Information Network - CIESIN</t>
  </si>
  <si>
    <t>LandScan (2022), UT-Battelle, LLC, operator of Oak Ridge National Laboratory</t>
  </si>
  <si>
    <t>WorldPop, University of Southampton, UK.</t>
  </si>
  <si>
    <t>Indications of the differences between the population datasets.</t>
  </si>
  <si>
    <t>very good: &lt; 20%_x000D_
good: 21% - 40%_x000D_
moderate: 41% - 60%_x000D_
poor: 61% - 80%_x000D_
very poor: &gt; 80%</t>
  </si>
  <si>
    <t>moderate</t>
  </si>
  <si>
    <t>Total Affected (EO-based)</t>
  </si>
  <si>
    <t>poor</t>
  </si>
  <si>
    <t>_observedEventA_v1_aoi</t>
  </si>
  <si>
    <t>OID</t>
  </si>
  <si>
    <t>event_desc</t>
  </si>
  <si>
    <t>event_type</t>
  </si>
  <si>
    <t>det_method</t>
  </si>
  <si>
    <t>notation</t>
  </si>
  <si>
    <t>dmg_src_id</t>
  </si>
  <si>
    <t>Frequency</t>
  </si>
  <si>
    <t>Area</t>
  </si>
  <si>
    <t>Mass Movement</t>
  </si>
  <si>
    <t>Photo-interpretation</t>
  </si>
  <si>
    <t>Not Applicable</t>
  </si>
  <si>
    <t>_builtUpP_m_v1_aoi</t>
  </si>
  <si>
    <t>obj_type</t>
  </si>
  <si>
    <t>class</t>
  </si>
  <si>
    <t>info</t>
  </si>
  <si>
    <t>class_desc</t>
  </si>
  <si>
    <t>damage_gra</t>
  </si>
  <si>
    <t>or_src_id</t>
  </si>
  <si>
    <t>cd_value</t>
  </si>
  <si>
    <t>Count</t>
  </si>
  <si>
    <t>Building point</t>
  </si>
  <si>
    <t>No visible damage</t>
  </si>
  <si>
    <t>Possibly damaged</t>
  </si>
  <si>
    <t>Non-residential Buildings</t>
  </si>
  <si>
    <t>_builtUpP_m_v1_aff</t>
  </si>
  <si>
    <t>_transportationA_m_v1_aoi</t>
  </si>
  <si>
    <t>Airfield</t>
  </si>
  <si>
    <t>_transportationA_m_v1_aff</t>
  </si>
  <si>
    <t>_transportationL_m_v1_aoi</t>
  </si>
  <si>
    <t>Length</t>
  </si>
  <si>
    <t>Highways, Streets and Roads</t>
  </si>
  <si>
    <t>_transportationL_m_v1_aff</t>
  </si>
  <si>
    <t>_transportationP_m_v1_aoi</t>
  </si>
  <si>
    <t>Bridges, Elevated Highways, Tunnels and Subways</t>
  </si>
  <si>
    <t>_transportationP_m_v1_aff</t>
  </si>
  <si>
    <t>_facilitiesA_m_v1_aoi</t>
  </si>
  <si>
    <t>Complex Constructions on Industrial Sites</t>
  </si>
  <si>
    <t>_facilitiesA_m_v1_aff</t>
  </si>
  <si>
    <t>_naturalLandUseA_v1_aoi</t>
  </si>
  <si>
    <t>Agricultural Areas</t>
  </si>
  <si>
    <t>Heterogeneous agricultural areas</t>
  </si>
  <si>
    <t>Not Affected</t>
  </si>
  <si>
    <t>Forests and Semi-natural Areas</t>
  </si>
  <si>
    <t>Forests</t>
  </si>
  <si>
    <t>Wetlands</t>
  </si>
  <si>
    <t>Inland wetlands</t>
  </si>
  <si>
    <t>_naturalLandUseA_v1_aff</t>
  </si>
  <si>
    <t>Nepal 2026 Flood Impact Analysis</t>
  </si>
  <si>
    <t>Project Overview</t>
  </si>
  <si>
    <t>Project</t>
  </si>
  <si>
    <t>Event</t>
  </si>
  <si>
    <t>EMSR927 – Nepal Flood/Mudflow</t>
  </si>
  <si>
    <t>Area of Interest</t>
  </si>
  <si>
    <t>AOI 01 – Syapru Besi, Rasuwa, Nepal</t>
  </si>
  <si>
    <t>Assessment Type</t>
  </si>
  <si>
    <t>Rapid imagery-based damage assessment</t>
  </si>
  <si>
    <t>Primary Data Source</t>
  </si>
  <si>
    <t>Copernicus Emergency Management Service (CEMS)</t>
  </si>
  <si>
    <t>Original Dataset</t>
  </si>
  <si>
    <t>EMSR927 AOI01 GRA PRODUCT summaryTable v1</t>
  </si>
  <si>
    <t>Assessment Date</t>
  </si>
  <si>
    <t>Analysis Tools</t>
  </si>
  <si>
    <t>Microsoft Excel, SQL Server / SSMS, Python</t>
  </si>
  <si>
    <t>Project Workflow</t>
  </si>
  <si>
    <t>Excel → SQL Server → Python → Insights</t>
  </si>
  <si>
    <t>Analysis Objectives</t>
  </si>
  <si>
    <t>1. Measure the extent of building damage.</t>
  </si>
  <si>
    <t>2. Analyze transportation and infrastructure impacts.</t>
  </si>
  <si>
    <t>3. Compare damage categories and affected assets.</t>
  </si>
  <si>
    <t>4. Identify the most significant observed impacts.</t>
  </si>
  <si>
    <t>5. Produce evidence-based disaster-impact insights.</t>
  </si>
  <si>
    <t>6. Document data limitations and uncertainty.</t>
  </si>
  <si>
    <t>Data Quality Note</t>
  </si>
  <si>
    <t>This dataset represents a rapid imagery-based assessment. Damage classifications are based on available post-event imagery and should not automatically be interpreted as field-verified ground truth.</t>
  </si>
  <si>
    <t>asset_type</t>
  </si>
  <si>
    <t>asset_description</t>
  </si>
  <si>
    <t>damage_status</t>
  </si>
  <si>
    <t>count</t>
  </si>
  <si>
    <t>Validation</t>
  </si>
  <si>
    <t>Total affected buildings</t>
  </si>
  <si>
    <t>Destroyed buildings</t>
  </si>
  <si>
    <t>Damaged buildings</t>
  </si>
  <si>
    <t>Destroyed %</t>
  </si>
  <si>
    <t>Building records in detail table</t>
  </si>
  <si>
    <t>Residential records in detail table</t>
  </si>
  <si>
    <t>Non-residential records in detail table</t>
  </si>
  <si>
    <t>Source Reconciliation</t>
  </si>
  <si>
    <t>Residential affected - Grading</t>
  </si>
  <si>
    <t>Residential destroyed - Grading</t>
  </si>
  <si>
    <t>Residential damaged - Grading</t>
  </si>
  <si>
    <t>Residential possibly damaged - Grading</t>
  </si>
  <si>
    <t>Residential total in AOI - Grading</t>
  </si>
  <si>
    <t>Data Quality Observation</t>
  </si>
  <si>
    <t>The Grading/AOI summary reports 392 affected residential buildings, while the affected-building detail table contains 294 residential records. The difference is primarily explained by 78 possibly damaged residential buildings not appearing in the affected detail table, plus a one-building difference in the destroyed category.</t>
  </si>
  <si>
    <t>Total residential buildings</t>
  </si>
  <si>
    <t>Residential affected</t>
  </si>
  <si>
    <t>Residential no visible damage</t>
  </si>
  <si>
    <t>Total non-residential buildings</t>
  </si>
  <si>
    <t>Non-residential affected</t>
  </si>
  <si>
    <t>Non-residential no visible damage</t>
  </si>
  <si>
    <t>transportation_type</t>
  </si>
  <si>
    <t>unit</t>
  </si>
  <si>
    <t>destroyed_affected</t>
  </si>
  <si>
    <t>possibly_damaged</t>
  </si>
  <si>
    <t>total_affected</t>
  </si>
  <si>
    <t>total_in_aoi</t>
  </si>
  <si>
    <t>Bridges/elevated highways</t>
  </si>
  <si>
    <t>land_use</t>
  </si>
  <si>
    <t>affected_area_ha</t>
  </si>
  <si>
    <t>total_area_ha</t>
  </si>
  <si>
    <t>Shrub/herbaceous</t>
  </si>
  <si>
    <t>Heterogeneous agricultural</t>
  </si>
  <si>
    <t>A1</t>
  </si>
  <si>
    <t>B1</t>
  </si>
  <si>
    <t>C1</t>
  </si>
  <si>
    <t>facility_type</t>
  </si>
  <si>
    <t xml:space="preserve">                  affected_area_ha</t>
  </si>
  <si>
    <t>A</t>
  </si>
  <si>
    <t>B</t>
  </si>
  <si>
    <t>Metric</t>
  </si>
  <si>
    <t>Value</t>
  </si>
  <si>
    <t>Total buildings in AOI</t>
  </si>
  <si>
    <t>Buildings with no visible damage</t>
  </si>
  <si>
    <t>Residential buildings in AOI</t>
  </si>
  <si>
    <t>Non-residential buildings in AOI</t>
  </si>
  <si>
    <t>Destroyed buildings from detailed affected table</t>
  </si>
  <si>
    <t>Damaged buildings from detailed affected table</t>
  </si>
  <si>
    <t>Total records in building damage detail</t>
  </si>
  <si>
    <t>Transportation metric</t>
  </si>
  <si>
    <t>Primary road affected</t>
  </si>
  <si>
    <t>5.4 km</t>
  </si>
  <si>
    <t>Local road affected</t>
  </si>
  <si>
    <t>1.1 km</t>
  </si>
  <si>
    <t>Cart track affected</t>
  </si>
  <si>
    <t>Bridges/elevated highways affected</t>
  </si>
  <si>
    <t>Forest affected</t>
  </si>
  <si>
    <t>61.6 ha</t>
  </si>
  <si>
    <t>Shrub/herbaceous affected</t>
  </si>
  <si>
    <t>31.8 ha</t>
  </si>
  <si>
    <t>Inland wetlands affected</t>
  </si>
  <si>
    <t>12.1 ha</t>
  </si>
  <si>
    <t>Power plant area affected</t>
  </si>
  <si>
    <t>0.8 ha</t>
  </si>
  <si>
    <t>NEPAL 2026 FLOOD IMPACT DASHBOARD</t>
  </si>
  <si>
    <t>Syapru Besi, Rasuwa, Nepal</t>
  </si>
  <si>
    <t>Satellite-based flood impact assessment</t>
  </si>
  <si>
    <t>TOTAL BUILDINGS</t>
  </si>
  <si>
    <t>AFFECTED BUILDINGS</t>
  </si>
  <si>
    <t>AFFECTED RATE</t>
  </si>
  <si>
    <t>AFFECTED LAND</t>
  </si>
  <si>
    <t>111.0 ha</t>
  </si>
  <si>
    <t>BRIDGES AFFECTED</t>
  </si>
  <si>
    <t>ROADS AFFECTED</t>
  </si>
  <si>
    <t>8.6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</si>
</sst>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[&lt;0.004]0;[&lt;0.05]0.00;#,###,##0.0"/>
    <numFmt numFmtId="166" formatCode="#,###,##0"/>
    <numFmt numFmtId="167" formatCode="&quot;~&quot;\ #,###"/>
    <numFmt numFmtId="168" formatCode="0.0%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 Unicode MS"/>
      <family val="2"/>
    </font>
    <font>
      <sz val="10"/>
      <color indexed="8"/>
      <name val="Arial Unicode MS"/>
      <family val="2"/>
    </font>
    <font>
      <sz val="10"/>
      <color theme="1"/>
      <name val="Arial Unicode MS"/>
      <family val="2"/>
    </font>
    <font>
      <b/>
      <sz val="10"/>
      <color indexed="8"/>
      <name val="Arial Unicode MS"/>
    </font>
    <font>
      <sz val="11"/>
      <color theme="1"/>
      <name val="Arial"/>
      <family val="2"/>
    </font>
    <font>
      <b/>
      <sz val="16"/>
      <color rgb="FF00000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</font>
    <font>
      <sz val="10"/>
      <name val="Arial"/>
    </font>
    <font>
      <b/>
      <sz val="10"/>
      <color rgb="FFFF9933"/>
      <name val="Arial"/>
    </font>
    <font>
      <sz val="10"/>
      <color rgb="FF0000EE"/>
      <name val="Arial"/>
    </font>
    <font>
      <sz val="8"/>
      <name val="Arial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Bold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9D9"/>
        <bgColor rgb="FFFFE9D9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EBF1DE"/>
        <bgColor rgb="FFEBF1DE"/>
      </patternFill>
    </fill>
    <fill>
      <patternFill patternType="solid">
        <fgColor rgb="FFFFFF66"/>
        <bgColor rgb="FFFFFF66"/>
      </patternFill>
    </fill>
    <fill>
      <patternFill patternType="solid">
        <fgColor rgb="FFFFCC66"/>
        <bgColor rgb="FFFFCC66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</borders>
  <cellStyleXfs count="6">
    <xf numFmtId="0" fontId="0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9" fontId="22" fillId="0" borderId="0" applyFont="0" applyFill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6" xfId="0" applyFont="1" applyBorder="1" applyAlignment="1">
      <alignment horizontal="right" vertical="center" wrapText="1"/>
    </xf>
    <xf numFmtId="0" fontId="7" fillId="3" borderId="0" xfId="0" applyFont="1" applyFill="1"/>
    <xf numFmtId="0" fontId="8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0" xfId="0" applyFont="1"/>
    <xf numFmtId="0" fontId="10" fillId="0" borderId="7" xfId="0" applyFont="1" applyBorder="1" applyAlignment="1">
      <alignment horizontal="right" vertical="center" wrapText="1"/>
    </xf>
    <xf numFmtId="0" fontId="12" fillId="3" borderId="0" xfId="0" applyFont="1" applyFill="1"/>
    <xf numFmtId="0" fontId="12" fillId="3" borderId="0" xfId="0" applyFont="1" applyFill="1" applyAlignment="1">
      <alignment wrapText="1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14" fillId="0" borderId="2" xfId="0" applyFont="1" applyBorder="1" applyAlignment="1">
      <alignment vertical="top" wrapText="1"/>
    </xf>
    <xf numFmtId="0" fontId="10" fillId="0" borderId="5" xfId="0" applyFont="1" applyBorder="1" applyAlignment="1">
      <alignment horizontal="right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5" fillId="0" borderId="0" xfId="0" applyFont="1"/>
    <xf numFmtId="0" fontId="11" fillId="0" borderId="3" xfId="0" applyFont="1" applyBorder="1"/>
    <xf numFmtId="0" fontId="16" fillId="0" borderId="0" xfId="0" applyFont="1"/>
    <xf numFmtId="0" fontId="17" fillId="0" borderId="0" xfId="0" applyFont="1"/>
    <xf numFmtId="0" fontId="17" fillId="0" borderId="9" xfId="0" applyFont="1" applyBorder="1"/>
    <xf numFmtId="0" fontId="17" fillId="0" borderId="9" xfId="0" applyFont="1" applyBorder="1" applyAlignment="1">
      <alignment horizontal="right" vertical="center"/>
    </xf>
    <xf numFmtId="0" fontId="16" fillId="0" borderId="9" xfId="0" applyFont="1" applyBorder="1"/>
    <xf numFmtId="165" fontId="17" fillId="5" borderId="9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right" vertical="center" wrapText="1"/>
    </xf>
    <xf numFmtId="165" fontId="17" fillId="0" borderId="12" xfId="0" applyNumberFormat="1" applyFont="1" applyBorder="1" applyAlignment="1">
      <alignment horizontal="center" vertical="center" wrapText="1"/>
    </xf>
    <xf numFmtId="165" fontId="17" fillId="0" borderId="0" xfId="0" applyNumberFormat="1" applyFont="1" applyAlignment="1">
      <alignment horizontal="left" vertical="center"/>
    </xf>
    <xf numFmtId="165" fontId="17" fillId="0" borderId="0" xfId="0" applyNumberFormat="1" applyFont="1"/>
    <xf numFmtId="0" fontId="11" fillId="0" borderId="12" xfId="0" applyFont="1" applyBorder="1"/>
    <xf numFmtId="0" fontId="10" fillId="0" borderId="12" xfId="0" applyFont="1" applyBorder="1" applyAlignment="1">
      <alignment vertical="center" wrapText="1"/>
    </xf>
    <xf numFmtId="166" fontId="17" fillId="4" borderId="12" xfId="0" applyNumberFormat="1" applyFont="1" applyFill="1" applyBorder="1" applyAlignment="1">
      <alignment horizontal="center" vertical="center" wrapText="1"/>
    </xf>
    <xf numFmtId="166" fontId="17" fillId="0" borderId="12" xfId="0" applyNumberFormat="1" applyFont="1" applyBorder="1" applyAlignment="1">
      <alignment horizontal="center" vertical="center" wrapText="1"/>
    </xf>
    <xf numFmtId="0" fontId="11" fillId="0" borderId="13" xfId="0" applyFont="1" applyBorder="1"/>
    <xf numFmtId="0" fontId="10" fillId="0" borderId="13" xfId="0" applyFont="1" applyBorder="1" applyAlignment="1">
      <alignment vertical="top" wrapText="1"/>
    </xf>
    <xf numFmtId="0" fontId="1" fillId="0" borderId="13" xfId="0" applyFont="1" applyBorder="1" applyAlignment="1">
      <alignment horizontal="left" vertical="center"/>
    </xf>
    <xf numFmtId="0" fontId="10" fillId="0" borderId="13" xfId="0" applyFont="1" applyBorder="1" applyAlignment="1">
      <alignment horizontal="right" vertical="center" wrapText="1"/>
    </xf>
    <xf numFmtId="166" fontId="17" fillId="4" borderId="13" xfId="0" applyNumberFormat="1" applyFont="1" applyFill="1" applyBorder="1" applyAlignment="1">
      <alignment horizontal="center" vertical="center" wrapText="1"/>
    </xf>
    <xf numFmtId="166" fontId="17" fillId="0" borderId="13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11" fillId="0" borderId="14" xfId="0" applyFont="1" applyBorder="1"/>
    <xf numFmtId="0" fontId="10" fillId="0" borderId="14" xfId="0" applyFont="1" applyBorder="1" applyAlignment="1">
      <alignment vertical="top" wrapText="1"/>
    </xf>
    <xf numFmtId="0" fontId="1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right" vertical="center" wrapText="1"/>
    </xf>
    <xf numFmtId="166" fontId="17" fillId="4" borderId="14" xfId="0" applyNumberFormat="1" applyFont="1" applyFill="1" applyBorder="1" applyAlignment="1">
      <alignment horizontal="center" vertical="center" wrapText="1"/>
    </xf>
    <xf numFmtId="166" fontId="17" fillId="0" borderId="1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165" fontId="17" fillId="4" borderId="12" xfId="0" applyNumberFormat="1" applyFont="1" applyFill="1" applyBorder="1" applyAlignment="1">
      <alignment horizontal="center" vertical="center" wrapText="1"/>
    </xf>
    <xf numFmtId="165" fontId="17" fillId="4" borderId="13" xfId="0" applyNumberFormat="1" applyFont="1" applyFill="1" applyBorder="1" applyAlignment="1">
      <alignment horizontal="center" vertical="center" wrapText="1"/>
    </xf>
    <xf numFmtId="165" fontId="17" fillId="0" borderId="13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11" fillId="0" borderId="9" xfId="0" applyFont="1" applyBorder="1"/>
    <xf numFmtId="0" fontId="10" fillId="0" borderId="9" xfId="0" applyFont="1" applyBorder="1" applyAlignment="1">
      <alignment vertical="top" wrapText="1"/>
    </xf>
    <xf numFmtId="0" fontId="1" fillId="0" borderId="9" xfId="0" applyFont="1" applyBorder="1" applyAlignment="1">
      <alignment vertical="center"/>
    </xf>
    <xf numFmtId="0" fontId="10" fillId="0" borderId="9" xfId="0" applyFont="1" applyBorder="1" applyAlignment="1">
      <alignment horizontal="right" vertical="center" wrapText="1"/>
    </xf>
    <xf numFmtId="165" fontId="17" fillId="4" borderId="9" xfId="0" applyNumberFormat="1" applyFont="1" applyFill="1" applyBorder="1" applyAlignment="1">
      <alignment horizontal="center" vertical="center" wrapText="1"/>
    </xf>
    <xf numFmtId="165" fontId="17" fillId="0" borderId="9" xfId="0" applyNumberFormat="1" applyFont="1" applyBorder="1" applyAlignment="1">
      <alignment horizontal="center" vertical="center" wrapText="1"/>
    </xf>
    <xf numFmtId="0" fontId="0" fillId="0" borderId="12" xfId="0" applyBorder="1"/>
    <xf numFmtId="0" fontId="10" fillId="0" borderId="12" xfId="0" applyFont="1" applyBorder="1"/>
    <xf numFmtId="0" fontId="11" fillId="0" borderId="12" xfId="0" applyFont="1" applyBorder="1" applyAlignment="1">
      <alignment vertical="center"/>
    </xf>
    <xf numFmtId="0" fontId="0" fillId="0" borderId="13" xfId="0" applyBorder="1"/>
    <xf numFmtId="0" fontId="11" fillId="0" borderId="13" xfId="0" applyFont="1" applyBorder="1" applyAlignment="1">
      <alignment vertical="center"/>
    </xf>
    <xf numFmtId="0" fontId="0" fillId="0" borderId="14" xfId="0" applyBorder="1"/>
    <xf numFmtId="0" fontId="11" fillId="0" borderId="14" xfId="0" applyFont="1" applyBorder="1" applyAlignment="1">
      <alignment vertical="center"/>
    </xf>
    <xf numFmtId="165" fontId="17" fillId="4" borderId="14" xfId="0" applyNumberFormat="1" applyFont="1" applyFill="1" applyBorder="1" applyAlignment="1">
      <alignment horizontal="center" vertical="center" wrapText="1"/>
    </xf>
    <xf numFmtId="165" fontId="17" fillId="0" borderId="14" xfId="0" applyNumberFormat="1" applyFont="1" applyBorder="1" applyAlignment="1">
      <alignment horizontal="center" vertical="center" wrapText="1"/>
    </xf>
    <xf numFmtId="167" fontId="17" fillId="0" borderId="1" xfId="0" applyNumberFormat="1" applyFont="1" applyBorder="1" applyAlignment="1">
      <alignment horizontal="center" vertical="center"/>
    </xf>
    <xf numFmtId="167" fontId="17" fillId="4" borderId="1" xfId="0" applyNumberFormat="1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7" fillId="0" borderId="0" xfId="0" applyFont="1" applyAlignment="1">
      <alignment horizontal="left" vertical="center"/>
    </xf>
    <xf numFmtId="0" fontId="16" fillId="6" borderId="9" xfId="0" applyFont="1" applyFill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166" fontId="0" fillId="7" borderId="9" xfId="0" applyNumberFormat="1" applyFill="1" applyBorder="1"/>
    <xf numFmtId="166" fontId="0" fillId="0" borderId="9" xfId="0" applyNumberFormat="1" applyBorder="1"/>
    <xf numFmtId="166" fontId="0" fillId="8" borderId="9" xfId="0" applyNumberFormat="1" applyFill="1" applyBorder="1"/>
    <xf numFmtId="0" fontId="0" fillId="8" borderId="9" xfId="0" applyFill="1" applyBorder="1"/>
    <xf numFmtId="0" fontId="0" fillId="9" borderId="9" xfId="0" applyFill="1" applyBorder="1"/>
    <xf numFmtId="0" fontId="0" fillId="10" borderId="9" xfId="0" applyFill="1" applyBorder="1"/>
    <xf numFmtId="0" fontId="21" fillId="0" borderId="0" xfId="0" applyFont="1"/>
    <xf numFmtId="0" fontId="21" fillId="0" borderId="0" xfId="0" applyFont="1" applyAlignment="1">
      <alignment vertical="center"/>
    </xf>
    <xf numFmtId="0" fontId="21" fillId="2" borderId="0" xfId="0" applyFont="1" applyFill="1"/>
    <xf numFmtId="15" fontId="0" fillId="0" borderId="0" xfId="0" applyNumberFormat="1"/>
    <xf numFmtId="0" fontId="24" fillId="0" borderId="0" xfId="0" applyFont="1"/>
    <xf numFmtId="0" fontId="1" fillId="12" borderId="15" xfId="0" applyFont="1" applyFill="1" applyBorder="1"/>
    <xf numFmtId="0" fontId="1" fillId="0" borderId="15" xfId="0" applyFont="1" applyBorder="1"/>
    <xf numFmtId="168" fontId="1" fillId="0" borderId="0" xfId="5" applyNumberFormat="1" applyFont="1" applyFill="1" applyBorder="1"/>
    <xf numFmtId="0" fontId="0" fillId="0" borderId="0" xfId="0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right" vertical="center" wrapText="1"/>
    </xf>
    <xf numFmtId="0" fontId="23" fillId="11" borderId="0" xfId="0" applyFont="1" applyFill="1"/>
    <xf numFmtId="164" fontId="1" fillId="4" borderId="3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7" fillId="0" borderId="9" xfId="0" applyFont="1" applyBorder="1"/>
    <xf numFmtId="0" fontId="0" fillId="0" borderId="10" xfId="0" applyBorder="1"/>
    <xf numFmtId="0" fontId="0" fillId="0" borderId="11" xfId="0" applyBorder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/>
    <xf numFmtId="10" fontId="25" fillId="0" borderId="0" xfId="0" applyNumberFormat="1" applyFont="1" applyAlignment="1">
      <alignment vertical="center" wrapText="1"/>
    </xf>
  </cellXfs>
  <cellStyles count="6">
    <cellStyle name="Excel Built-in Normal" xfId="1" xr:uid="{00000000-0005-0000-0000-000001000000}"/>
    <cellStyle name="Normal" xfId="0" builtinId="0"/>
    <cellStyle name="Normale 2" xfId="2" xr:uid="{00000000-0005-0000-0000-000002000000}"/>
    <cellStyle name="Normale 3" xfId="3" xr:uid="{00000000-0005-0000-0000-000003000000}"/>
    <cellStyle name="Normale 3 2" xfId="4" xr:uid="{00000000-0005-0000-0000-000004000000}"/>
    <cellStyle name="Percent" xfId="5" builtinId="5"/>
  </cellStyles>
  <dxfs count="33">
    <dxf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pn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76200</xdr:rowOff>
    </xdr:from>
    <xdr:to>
      <xdr:col>6</xdr:col>
      <xdr:colOff>152400</xdr:colOff>
      <xdr:row>25</xdr:row>
      <xdr:rowOff>172527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DD0B29-4C83-F006-50F8-1B28265DD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70804"/>
          <a:ext cx="8088702" cy="3460629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304801</xdr:colOff>
      <xdr:row>7</xdr:row>
      <xdr:rowOff>91440</xdr:rowOff>
    </xdr:from>
    <xdr:to>
      <xdr:col>12</xdr:col>
      <xdr:colOff>76200</xdr:colOff>
      <xdr:row>26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5747C10-F299-E1C9-7ADA-9B8926F1E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1103" y="1486044"/>
          <a:ext cx="6198078" cy="3459767"/>
        </a:xfrm>
        <a:prstGeom prst="rect">
          <a:avLst/>
        </a:prstGeom>
      </xdr:spPr>
    </xdr:pic>
    <xdr:clientData/>
  </xdr:twoCellAnchor>
  <xdr:twoCellAnchor editAs="oneCell">
    <xdr:from>
      <xdr:col>0</xdr:col>
      <xdr:colOff>324929</xdr:colOff>
      <xdr:row>27</xdr:row>
      <xdr:rowOff>38246</xdr:rowOff>
    </xdr:from>
    <xdr:to>
      <xdr:col>6</xdr:col>
      <xdr:colOff>263969</xdr:colOff>
      <xdr:row>47</xdr:row>
      <xdr:rowOff>71887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C4F30BC-9B60-9368-6DB2-4A99A3E73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29" y="5170963"/>
          <a:ext cx="7875342" cy="3771754"/>
        </a:xfrm>
        <a:prstGeom prst="rect">
          <a:avLst/>
        </a:prstGeom>
      </xdr:spPr>
    </xdr:pic>
    <xdr:clientData/>
  </xdr:twoCellAnchor>
  <xdr:twoCellAnchor editAs="oneCell">
    <xdr:from>
      <xdr:col>0</xdr:col>
      <xdr:colOff>280357</xdr:colOff>
      <xdr:row>48</xdr:row>
      <xdr:rowOff>158152</xdr:rowOff>
    </xdr:from>
    <xdr:to>
      <xdr:col>6</xdr:col>
      <xdr:colOff>230036</xdr:colOff>
      <xdr:row>67</xdr:row>
      <xdr:rowOff>57510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822B170-F1AC-8422-C9FD-12D9541BE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357" y="9215888"/>
          <a:ext cx="7885981" cy="3450565"/>
        </a:xfrm>
        <a:prstGeom prst="rect">
          <a:avLst/>
        </a:prstGeom>
      </xdr:spPr>
    </xdr:pic>
    <xdr:clientData/>
  </xdr:twoCellAnchor>
  <xdr:twoCellAnchor editAs="oneCell">
    <xdr:from>
      <xdr:col>6</xdr:col>
      <xdr:colOff>447035</xdr:colOff>
      <xdr:row>27</xdr:row>
      <xdr:rowOff>52567</xdr:rowOff>
    </xdr:from>
    <xdr:to>
      <xdr:col>12</xdr:col>
      <xdr:colOff>158152</xdr:colOff>
      <xdr:row>47</xdr:row>
      <xdr:rowOff>143773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C79E007-CD7C-D2D3-8B00-8B78A4E29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3337" y="5185284"/>
          <a:ext cx="6137796" cy="3829319"/>
        </a:xfrm>
        <a:prstGeom prst="rect">
          <a:avLst/>
        </a:prstGeom>
      </xdr:spPr>
    </xdr:pic>
    <xdr:clientData/>
  </xdr:twoCellAnchor>
  <xdr:twoCellAnchor editAs="oneCell">
    <xdr:from>
      <xdr:col>6</xdr:col>
      <xdr:colOff>330678</xdr:colOff>
      <xdr:row>48</xdr:row>
      <xdr:rowOff>32203</xdr:rowOff>
    </xdr:from>
    <xdr:to>
      <xdr:col>12</xdr:col>
      <xdr:colOff>309562</xdr:colOff>
      <xdr:row>68</xdr:row>
      <xdr:rowOff>28755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2C48300-5876-BF76-C686-96A0C94FA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866" y="9247641"/>
          <a:ext cx="6455884" cy="38065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32</xdr:row>
      <xdr:rowOff>0</xdr:rowOff>
    </xdr:from>
    <xdr:ext cx="1695450" cy="1714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2381250" cy="457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</xdr:row>
      <xdr:rowOff>0</xdr:rowOff>
    </xdr:from>
    <xdr:ext cx="1533525" cy="6191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8E0BB8-CB9D-44E2-B916-35BCE02DBDB9}" name="tbl_building_damage" displayName="tbl_building_damage" ref="A1:D10" totalsRowShown="0" headerRowDxfId="32" dataDxfId="31" tableBorderDxfId="30">
  <autoFilter ref="A1:D10" xr:uid="{B78E0BB8-CB9D-44E2-B916-35BCE02DBDB9}"/>
  <tableColumns count="4">
    <tableColumn id="1" xr3:uid="{4A5C90C9-B7EF-4660-8896-00443ABCDA56}" name="asset_type" dataDxfId="29"/>
    <tableColumn id="2" xr3:uid="{D47A3F7E-3325-4F5E-8716-498D65A56D97}" name="asset_description" dataDxfId="28"/>
    <tableColumn id="3" xr3:uid="{D345B308-FF88-4A0D-87EF-6C5BDCA0C83B}" name="damage_status" dataDxfId="27"/>
    <tableColumn id="4" xr3:uid="{D57FA4F8-EDB9-440C-87A5-D20DF08E4713}" name="count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78C5DD-2DEC-4273-AA9A-D6C88B93E309}" name="tbl_building_aoi" displayName="tbl_building_aoi" ref="A1:D15" totalsRowShown="0" headerRowDxfId="25" dataDxfId="24" tableBorderDxfId="23">
  <autoFilter ref="A1:D15" xr:uid="{CF78C5DD-2DEC-4273-AA9A-D6C88B93E309}"/>
  <tableColumns count="4">
    <tableColumn id="1" xr3:uid="{864F3886-2300-4484-A3E0-2821E036D001}" name="asset_type" dataDxfId="22"/>
    <tableColumn id="2" xr3:uid="{0E68F019-0702-4386-BC28-870C57550B99}" name="asset_description" dataDxfId="21"/>
    <tableColumn id="3" xr3:uid="{0179781D-FCA5-4961-9781-E486DAF1DA83}" name="damage_status" dataDxfId="20"/>
    <tableColumn id="4" xr3:uid="{5CC0C26E-51D2-49F0-8936-31F43298C4AE}" name="count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02031-C8FE-4CFC-90A8-0DADFD9C4F02}" name="tbl_transportation_impact" displayName="tbl_transportation_impact" ref="A1:F6" totalsRowShown="0" headerRowDxfId="18" dataDxfId="17">
  <autoFilter ref="A1:F6" xr:uid="{0CC02031-C8FE-4CFC-90A8-0DADFD9C4F02}"/>
  <tableColumns count="6">
    <tableColumn id="1" xr3:uid="{179B095A-5223-4E7A-B55E-9E64CE0ECB70}" name="transportation_type" dataDxfId="16"/>
    <tableColumn id="2" xr3:uid="{984F3213-AB3A-47AA-94CB-0E40E50B26AB}" name="unit" dataDxfId="15"/>
    <tableColumn id="3" xr3:uid="{533E4652-31D8-49CF-AEF3-83D667A023B5}" name="destroyed_affected" dataDxfId="14"/>
    <tableColumn id="4" xr3:uid="{AB43B6E1-0A69-4211-BF9C-05403A3ACDB0}" name="possibly_damaged" dataDxfId="13"/>
    <tableColumn id="5" xr3:uid="{7A0921D2-9C87-4A4E-ABDE-F919338964EB}" name="total_affected" dataDxfId="12"/>
    <tableColumn id="6" xr3:uid="{2081CB5B-5F7A-4861-9117-9F015FA27074}" name="total_in_aoi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4B03CB-0E0C-4035-919E-DF4018DB6FA7}" name="tbl_landuse_impact" displayName="tbl_landuse_impact" ref="A1:C6" totalsRowShown="0" dataDxfId="10">
  <autoFilter ref="A1:C6" xr:uid="{834B03CB-0E0C-4035-919E-DF4018DB6FA7}"/>
  <tableColumns count="3">
    <tableColumn id="1" xr3:uid="{72FABBE9-8B45-49C3-A4AD-65C4D2AF701A}" name="land_use" dataDxfId="9"/>
    <tableColumn id="2" xr3:uid="{42AF4691-5702-41AC-AFC1-4C78E4ACE042}" name="affected_area_ha" dataDxfId="8"/>
    <tableColumn id="3" xr3:uid="{03E1B07E-F9B7-4CF6-8E46-243CC69797BE}" name="total_area_ha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5138B1-1F04-4C6D-873D-41C8444405FC}" name="tbl_project_summary" displayName="tbl_project_summary" ref="A1:B14" totalsRowShown="0">
  <autoFilter ref="A1:B14" xr:uid="{C35138B1-1F04-4C6D-873D-41C8444405FC}"/>
  <tableColumns count="2">
    <tableColumn id="1" xr3:uid="{3F524DA9-5EFF-42D4-989F-3C2AA82E155B}" name="A" dataDxfId="6"/>
    <tableColumn id="2" xr3:uid="{B4B9A6A8-3536-412E-82E2-E7F2787BB7CF}" name="B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A645C8-3F4A-4A2A-AAC8-815819C9E134}" name="tbl_impact_summary" displayName="tbl_impact_summary" ref="A16:B25" totalsRowShown="0">
  <autoFilter ref="A16:B25" xr:uid="{EAA645C8-3F4A-4A2A-AAC8-815819C9E134}"/>
  <tableColumns count="2">
    <tableColumn id="1" xr3:uid="{F0418A6D-352D-4CD5-A9D4-F31DB65B0ECE}" name="A" dataDxfId="4"/>
    <tableColumn id="2" xr3:uid="{A0F70424-8B29-424D-A961-6DD0499E2076}" name="B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EE5DB4-226F-4648-A8E2-C0E7203829BB}" name="tbl_facilities_impact" displayName="tbl_facilities_impact" ref="A1:C3" totalsRowShown="0" headerRowDxfId="2">
  <autoFilter ref="A1:C3" xr:uid="{2DEE5DB4-226F-4648-A8E2-C0E7203829BB}"/>
  <tableColumns count="3">
    <tableColumn id="1" xr3:uid="{87681FD8-A79F-4F90-A9D9-70E7A69CCEEE}" name="A1" dataDxfId="1"/>
    <tableColumn id="2" xr3:uid="{97DD8AE7-CB5D-4A43-A395-CAE6920845AA}" name="B1" dataDxfId="0"/>
    <tableColumn id="3" xr3:uid="{A6B89BF4-BEAF-472B-B1DF-4E435396127C}" name="C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A3C3-EF95-4176-A793-D15A414AFA7F}">
  <dimension ref="A1:B23"/>
  <sheetViews>
    <sheetView zoomScale="66" workbookViewId="0">
      <selection activeCell="A24" sqref="A24"/>
    </sheetView>
  </sheetViews>
  <sheetFormatPr defaultColWidth="44.109375" defaultRowHeight="14.4"/>
  <cols>
    <col min="1" max="1" width="166.33203125" bestFit="1" customWidth="1"/>
  </cols>
  <sheetData>
    <row r="1" spans="1:2">
      <c r="A1" s="98" t="s">
        <v>131</v>
      </c>
    </row>
    <row r="2" spans="1:2">
      <c r="A2" s="98" t="s">
        <v>132</v>
      </c>
    </row>
    <row r="4" spans="1:2">
      <c r="A4" t="s">
        <v>133</v>
      </c>
      <c r="B4" t="s">
        <v>131</v>
      </c>
    </row>
    <row r="5" spans="1:2">
      <c r="A5" t="s">
        <v>134</v>
      </c>
      <c r="B5" t="s">
        <v>135</v>
      </c>
    </row>
    <row r="6" spans="1:2">
      <c r="A6" t="s">
        <v>136</v>
      </c>
      <c r="B6" t="s">
        <v>137</v>
      </c>
    </row>
    <row r="7" spans="1:2">
      <c r="A7" t="s">
        <v>138</v>
      </c>
      <c r="B7" t="s">
        <v>139</v>
      </c>
    </row>
    <row r="8" spans="1:2">
      <c r="A8" t="s">
        <v>140</v>
      </c>
      <c r="B8" t="s">
        <v>141</v>
      </c>
    </row>
    <row r="9" spans="1:2">
      <c r="A9" t="s">
        <v>142</v>
      </c>
      <c r="B9" t="s">
        <v>143</v>
      </c>
    </row>
    <row r="10" spans="1:2">
      <c r="A10" t="s">
        <v>144</v>
      </c>
      <c r="B10" s="97">
        <v>46261</v>
      </c>
    </row>
    <row r="11" spans="1:2">
      <c r="A11" t="s">
        <v>145</v>
      </c>
      <c r="B11" t="s">
        <v>146</v>
      </c>
    </row>
    <row r="12" spans="1:2">
      <c r="A12" t="s">
        <v>147</v>
      </c>
      <c r="B12" t="s">
        <v>148</v>
      </c>
    </row>
    <row r="14" spans="1:2">
      <c r="A14" s="98" t="s">
        <v>149</v>
      </c>
    </row>
    <row r="15" spans="1:2">
      <c r="A15" t="s">
        <v>150</v>
      </c>
    </row>
    <row r="16" spans="1:2">
      <c r="A16" t="s">
        <v>151</v>
      </c>
    </row>
    <row r="17" spans="1:1">
      <c r="A17" t="s">
        <v>152</v>
      </c>
    </row>
    <row r="18" spans="1:1">
      <c r="A18" t="s">
        <v>153</v>
      </c>
    </row>
    <row r="19" spans="1:1">
      <c r="A19" t="s">
        <v>154</v>
      </c>
    </row>
    <row r="20" spans="1:1">
      <c r="A20" t="s">
        <v>155</v>
      </c>
    </row>
    <row r="22" spans="1:1">
      <c r="A22" s="98" t="s">
        <v>156</v>
      </c>
    </row>
    <row r="23" spans="1:1">
      <c r="A23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BD24-F03B-44EA-9D92-32B2DDA82B07}">
  <dimension ref="A1:K8"/>
  <sheetViews>
    <sheetView tabSelected="1" zoomScale="43" zoomScaleNormal="90" workbookViewId="0">
      <selection activeCell="R19" sqref="R19"/>
    </sheetView>
  </sheetViews>
  <sheetFormatPr defaultRowHeight="14.4"/>
  <cols>
    <col min="1" max="1" width="35.21875" bestFit="1" customWidth="1"/>
    <col min="3" max="3" width="24.6640625" customWidth="1"/>
    <col min="5" max="5" width="29.44140625" customWidth="1"/>
    <col min="7" max="7" width="24" customWidth="1"/>
    <col min="9" max="9" width="24.33203125" customWidth="1"/>
    <col min="11" max="11" width="19" customWidth="1"/>
  </cols>
  <sheetData>
    <row r="1" spans="1:11">
      <c r="A1" s="118" t="s">
        <v>227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1">
      <c r="A2" s="119" t="s">
        <v>228</v>
      </c>
      <c r="B2" s="119"/>
      <c r="C2" s="119"/>
      <c r="D2" s="119"/>
      <c r="E2" s="119"/>
      <c r="F2" s="119"/>
      <c r="G2" s="119"/>
      <c r="H2" s="119"/>
      <c r="I2" s="119"/>
      <c r="J2" s="119"/>
    </row>
    <row r="3" spans="1:11">
      <c r="A3" s="119" t="s">
        <v>229</v>
      </c>
      <c r="B3" s="119"/>
      <c r="C3" s="119"/>
      <c r="D3" s="119"/>
      <c r="E3" s="119"/>
      <c r="F3" s="119"/>
      <c r="G3" s="119"/>
      <c r="H3" s="119"/>
      <c r="I3" s="119"/>
      <c r="J3" s="119"/>
    </row>
    <row r="5" spans="1:11">
      <c r="A5" s="98" t="s">
        <v>230</v>
      </c>
      <c r="C5" s="103" t="s">
        <v>231</v>
      </c>
      <c r="E5" s="103" t="s">
        <v>232</v>
      </c>
      <c r="G5" s="98" t="s">
        <v>233</v>
      </c>
      <c r="I5" s="103" t="s">
        <v>235</v>
      </c>
      <c r="K5" s="103" t="s">
        <v>236</v>
      </c>
    </row>
    <row r="6" spans="1:11" ht="21">
      <c r="A6" s="120">
        <v>559</v>
      </c>
      <c r="C6" s="121">
        <v>433</v>
      </c>
      <c r="E6" s="122">
        <v>0.77459999999999996</v>
      </c>
      <c r="G6" s="120" t="s">
        <v>234</v>
      </c>
      <c r="I6" s="120">
        <v>5</v>
      </c>
      <c r="K6" s="120" t="s">
        <v>237</v>
      </c>
    </row>
    <row r="7" spans="1:11">
      <c r="A7" s="102"/>
      <c r="C7" s="102"/>
      <c r="G7" s="102"/>
    </row>
    <row r="8" spans="1:11">
      <c r="C8" s="102"/>
    </row>
  </sheetData>
  <mergeCells count="3">
    <mergeCell ref="A1:J1"/>
    <mergeCell ref="A2:J2"/>
    <mergeCell ref="A3:J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A77C-1DEF-4BB1-897A-003854F2EC38}">
  <dimension ref="A1:G17"/>
  <sheetViews>
    <sheetView workbookViewId="0">
      <selection activeCell="B5" sqref="B5"/>
    </sheetView>
  </sheetViews>
  <sheetFormatPr defaultColWidth="15.21875" defaultRowHeight="14.4"/>
  <cols>
    <col min="1" max="1" width="21.33203125" bestFit="1" customWidth="1"/>
    <col min="2" max="2" width="52.109375" bestFit="1" customWidth="1"/>
    <col min="3" max="3" width="16" customWidth="1"/>
    <col min="6" max="6" width="56" customWidth="1"/>
    <col min="7" max="7" width="19.44140625" customWidth="1"/>
  </cols>
  <sheetData>
    <row r="1" spans="1:7">
      <c r="A1" s="109" t="s">
        <v>158</v>
      </c>
      <c r="B1" s="109" t="s">
        <v>159</v>
      </c>
      <c r="C1" s="109" t="s">
        <v>160</v>
      </c>
      <c r="D1" s="109" t="s">
        <v>161</v>
      </c>
      <c r="F1" s="98" t="s">
        <v>162</v>
      </c>
    </row>
    <row r="2" spans="1:7">
      <c r="A2" s="99" t="s">
        <v>23</v>
      </c>
      <c r="B2" s="99" t="s">
        <v>94</v>
      </c>
      <c r="C2" s="99" t="s">
        <v>13</v>
      </c>
      <c r="D2" s="99">
        <v>159</v>
      </c>
      <c r="F2" t="s">
        <v>167</v>
      </c>
      <c r="G2">
        <f>SUM(D2:D10)</f>
        <v>335</v>
      </c>
    </row>
    <row r="3" spans="1:7">
      <c r="A3" s="100" t="s">
        <v>23</v>
      </c>
      <c r="B3" s="100" t="s">
        <v>94</v>
      </c>
      <c r="C3" s="100" t="s">
        <v>14</v>
      </c>
      <c r="D3" s="100">
        <v>2</v>
      </c>
      <c r="F3" t="s">
        <v>168</v>
      </c>
      <c r="G3">
        <f>SUMIF(A2:A10,"Residential Buildings",D2:D10)</f>
        <v>294</v>
      </c>
    </row>
    <row r="4" spans="1:7">
      <c r="A4" s="99" t="s">
        <v>23</v>
      </c>
      <c r="B4" s="99" t="s">
        <v>94</v>
      </c>
      <c r="C4" s="99" t="s">
        <v>14</v>
      </c>
      <c r="D4" s="99">
        <v>10</v>
      </c>
      <c r="F4" t="s">
        <v>169</v>
      </c>
      <c r="G4">
        <f>SUMIF(A2:A10,"Non-residential Buildings",D2:D10)</f>
        <v>41</v>
      </c>
    </row>
    <row r="5" spans="1:7">
      <c r="A5" s="100" t="s">
        <v>23</v>
      </c>
      <c r="B5" s="100" t="s">
        <v>94</v>
      </c>
      <c r="C5" s="100" t="s">
        <v>13</v>
      </c>
      <c r="D5" s="100">
        <v>123</v>
      </c>
      <c r="F5" t="s">
        <v>164</v>
      </c>
      <c r="G5">
        <f>SUMIF(C2:C10,"Destroyed",D2:D10)</f>
        <v>322</v>
      </c>
    </row>
    <row r="6" spans="1:7">
      <c r="A6" s="99" t="s">
        <v>107</v>
      </c>
      <c r="B6" s="99" t="s">
        <v>24</v>
      </c>
      <c r="C6" s="99" t="s">
        <v>13</v>
      </c>
      <c r="D6" s="99">
        <v>1</v>
      </c>
      <c r="F6" t="s">
        <v>165</v>
      </c>
      <c r="G6">
        <f>SUMIF(C2:C10,"Damaged",D2:D10)</f>
        <v>13</v>
      </c>
    </row>
    <row r="7" spans="1:7">
      <c r="A7" s="100" t="s">
        <v>107</v>
      </c>
      <c r="B7" s="100" t="s">
        <v>26</v>
      </c>
      <c r="C7" s="100" t="s">
        <v>13</v>
      </c>
      <c r="D7" s="100">
        <v>35</v>
      </c>
      <c r="F7" t="s">
        <v>166</v>
      </c>
      <c r="G7" s="101">
        <f>G5/G2</f>
        <v>0.96119402985074631</v>
      </c>
    </row>
    <row r="8" spans="1:7">
      <c r="A8" s="99" t="s">
        <v>107</v>
      </c>
      <c r="B8" s="99" t="s">
        <v>27</v>
      </c>
      <c r="C8" s="99" t="s">
        <v>13</v>
      </c>
      <c r="D8" s="99">
        <v>2</v>
      </c>
    </row>
    <row r="9" spans="1:7">
      <c r="A9" s="100" t="s">
        <v>107</v>
      </c>
      <c r="B9" s="100" t="s">
        <v>25</v>
      </c>
      <c r="C9" s="100" t="s">
        <v>14</v>
      </c>
      <c r="D9" s="100">
        <v>1</v>
      </c>
      <c r="F9" s="98" t="s">
        <v>170</v>
      </c>
    </row>
    <row r="10" spans="1:7">
      <c r="A10" s="99" t="s">
        <v>107</v>
      </c>
      <c r="B10" s="99" t="s">
        <v>26</v>
      </c>
      <c r="C10" s="99" t="s">
        <v>13</v>
      </c>
      <c r="D10" s="99">
        <v>2</v>
      </c>
      <c r="F10" t="s">
        <v>171</v>
      </c>
      <c r="G10">
        <v>392</v>
      </c>
    </row>
    <row r="11" spans="1:7">
      <c r="F11" t="s">
        <v>172</v>
      </c>
      <c r="G11">
        <v>283</v>
      </c>
    </row>
    <row r="12" spans="1:7">
      <c r="A12" s="98"/>
      <c r="F12" t="s">
        <v>173</v>
      </c>
      <c r="G12">
        <v>31</v>
      </c>
    </row>
    <row r="13" spans="1:7">
      <c r="F13" t="s">
        <v>174</v>
      </c>
      <c r="G13">
        <v>78</v>
      </c>
    </row>
    <row r="14" spans="1:7">
      <c r="F14" s="98" t="s">
        <v>175</v>
      </c>
      <c r="G14" s="98">
        <v>517</v>
      </c>
    </row>
    <row r="16" spans="1:7">
      <c r="F16" s="98" t="s">
        <v>176</v>
      </c>
    </row>
    <row r="17" spans="6:6">
      <c r="F17" t="s">
        <v>177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7894-9DD8-4F76-ADBA-00D9696F5C15}">
  <dimension ref="A1:G15"/>
  <sheetViews>
    <sheetView workbookViewId="0">
      <selection activeCell="D21" sqref="D21"/>
    </sheetView>
  </sheetViews>
  <sheetFormatPr defaultColWidth="18.109375" defaultRowHeight="14.4"/>
  <cols>
    <col min="1" max="1" width="21.33203125" customWidth="1"/>
    <col min="2" max="2" width="51.21875" customWidth="1"/>
    <col min="6" max="6" width="26.88671875" customWidth="1"/>
  </cols>
  <sheetData>
    <row r="1" spans="1:7">
      <c r="A1" s="109" t="s">
        <v>158</v>
      </c>
      <c r="B1" s="109" t="s">
        <v>159</v>
      </c>
      <c r="C1" s="109" t="s">
        <v>160</v>
      </c>
      <c r="D1" s="109" t="s">
        <v>161</v>
      </c>
      <c r="F1" s="98" t="s">
        <v>162</v>
      </c>
    </row>
    <row r="2" spans="1:7">
      <c r="A2" s="99" t="s">
        <v>23</v>
      </c>
      <c r="B2" s="99" t="s">
        <v>94</v>
      </c>
      <c r="C2" s="99" t="s">
        <v>13</v>
      </c>
      <c r="D2" s="99">
        <v>160</v>
      </c>
      <c r="F2" t="s">
        <v>178</v>
      </c>
      <c r="G2">
        <f>SUMIF(A2:A15,"Residential Buildings",D2:D15)</f>
        <v>517</v>
      </c>
    </row>
    <row r="3" spans="1:7">
      <c r="A3" s="100" t="s">
        <v>23</v>
      </c>
      <c r="B3" s="100" t="s">
        <v>94</v>
      </c>
      <c r="C3" s="100" t="s">
        <v>14</v>
      </c>
      <c r="D3" s="100">
        <v>5</v>
      </c>
      <c r="F3" t="s">
        <v>179</v>
      </c>
      <c r="G3">
        <f>SUMIFS(D2:D15, A2:A15, "Residential Buildings", C2:C15, "&lt;&gt;No visible damage")</f>
        <v>392</v>
      </c>
    </row>
    <row r="4" spans="1:7">
      <c r="A4" s="99" t="s">
        <v>23</v>
      </c>
      <c r="B4" s="99" t="s">
        <v>94</v>
      </c>
      <c r="C4" s="99" t="s">
        <v>105</v>
      </c>
      <c r="D4" s="99">
        <v>39</v>
      </c>
      <c r="F4" t="s">
        <v>180</v>
      </c>
      <c r="G4">
        <f>SUMIFS(D2:D15,A2:A15,"Residential Buildings",C2:C15,"No visible damage")</f>
        <v>125</v>
      </c>
    </row>
    <row r="5" spans="1:7">
      <c r="A5" s="100" t="s">
        <v>23</v>
      </c>
      <c r="B5" s="100" t="s">
        <v>94</v>
      </c>
      <c r="C5" s="100" t="s">
        <v>106</v>
      </c>
      <c r="D5" s="100">
        <v>26</v>
      </c>
      <c r="F5" t="s">
        <v>181</v>
      </c>
      <c r="G5">
        <f>SUMIF(A2:A15,"Non-residential Buildings",D2:D15)</f>
        <v>42</v>
      </c>
    </row>
    <row r="6" spans="1:7">
      <c r="A6" s="99" t="s">
        <v>23</v>
      </c>
      <c r="B6" s="99" t="s">
        <v>94</v>
      </c>
      <c r="C6" s="99" t="s">
        <v>14</v>
      </c>
      <c r="D6" s="99">
        <v>26</v>
      </c>
      <c r="F6" t="s">
        <v>182</v>
      </c>
      <c r="G6">
        <f>SUMIFS(D2:D15,A2:A15,"Non-residential Buildings",C2:C15,"&lt;&gt;No visible damage")</f>
        <v>41</v>
      </c>
    </row>
    <row r="7" spans="1:7">
      <c r="A7" s="100" t="s">
        <v>23</v>
      </c>
      <c r="B7" s="100" t="s">
        <v>94</v>
      </c>
      <c r="C7" s="100" t="s">
        <v>13</v>
      </c>
      <c r="D7" s="100">
        <v>123</v>
      </c>
      <c r="F7" t="s">
        <v>183</v>
      </c>
      <c r="G7">
        <f>SUMIFS(D2:D15,A2:A15,"Non-residential Buildings",C2:C15,"No visible damage")</f>
        <v>1</v>
      </c>
    </row>
    <row r="8" spans="1:7">
      <c r="A8" s="99" t="s">
        <v>23</v>
      </c>
      <c r="B8" s="99" t="s">
        <v>94</v>
      </c>
      <c r="C8" s="99" t="s">
        <v>105</v>
      </c>
      <c r="D8" s="99">
        <v>86</v>
      </c>
    </row>
    <row r="9" spans="1:7">
      <c r="A9" s="100" t="s">
        <v>23</v>
      </c>
      <c r="B9" s="100" t="s">
        <v>94</v>
      </c>
      <c r="C9" s="100" t="s">
        <v>106</v>
      </c>
      <c r="D9" s="100">
        <v>52</v>
      </c>
    </row>
    <row r="10" spans="1:7">
      <c r="A10" s="99" t="s">
        <v>107</v>
      </c>
      <c r="B10" s="99" t="s">
        <v>24</v>
      </c>
      <c r="C10" s="99" t="s">
        <v>13</v>
      </c>
      <c r="D10" s="99">
        <v>1</v>
      </c>
    </row>
    <row r="11" spans="1:7">
      <c r="A11" s="100" t="s">
        <v>107</v>
      </c>
      <c r="B11" s="100" t="s">
        <v>26</v>
      </c>
      <c r="C11" s="100" t="s">
        <v>13</v>
      </c>
      <c r="D11" s="100">
        <v>35</v>
      </c>
    </row>
    <row r="12" spans="1:7">
      <c r="A12" s="99" t="s">
        <v>107</v>
      </c>
      <c r="B12" s="99" t="s">
        <v>27</v>
      </c>
      <c r="C12" s="99" t="s">
        <v>13</v>
      </c>
      <c r="D12" s="99">
        <v>2</v>
      </c>
    </row>
    <row r="13" spans="1:7">
      <c r="A13" s="100" t="s">
        <v>107</v>
      </c>
      <c r="B13" s="100" t="s">
        <v>26</v>
      </c>
      <c r="C13" s="100" t="s">
        <v>105</v>
      </c>
      <c r="D13" s="100">
        <v>1</v>
      </c>
    </row>
    <row r="14" spans="1:7">
      <c r="A14" s="99" t="s">
        <v>107</v>
      </c>
      <c r="B14" s="99" t="s">
        <v>25</v>
      </c>
      <c r="C14" s="99" t="s">
        <v>14</v>
      </c>
      <c r="D14" s="99">
        <v>1</v>
      </c>
    </row>
    <row r="15" spans="1:7">
      <c r="A15" s="100" t="s">
        <v>107</v>
      </c>
      <c r="B15" s="100" t="s">
        <v>26</v>
      </c>
      <c r="C15" s="100" t="s">
        <v>13</v>
      </c>
      <c r="D15" s="100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785B-0994-4A82-9751-63BC7E6199BF}">
  <dimension ref="A1:F6"/>
  <sheetViews>
    <sheetView workbookViewId="0">
      <selection activeCell="C5" sqref="C5"/>
    </sheetView>
  </sheetViews>
  <sheetFormatPr defaultColWidth="19.33203125" defaultRowHeight="14.4"/>
  <cols>
    <col min="1" max="1" width="19.77734375" customWidth="1"/>
  </cols>
  <sheetData>
    <row r="1" spans="1:6">
      <c r="A1" s="98" t="s">
        <v>184</v>
      </c>
      <c r="B1" s="103" t="s">
        <v>185</v>
      </c>
      <c r="C1" s="98" t="s">
        <v>186</v>
      </c>
      <c r="D1" s="103" t="s">
        <v>187</v>
      </c>
      <c r="E1" s="98" t="s">
        <v>188</v>
      </c>
      <c r="F1" s="103" t="s">
        <v>189</v>
      </c>
    </row>
    <row r="2" spans="1:6">
      <c r="A2" s="102" t="s">
        <v>29</v>
      </c>
      <c r="B2" s="102" t="s">
        <v>12</v>
      </c>
      <c r="C2" s="102">
        <v>0.01</v>
      </c>
      <c r="D2" s="102">
        <v>0</v>
      </c>
      <c r="E2" s="102">
        <v>0.01</v>
      </c>
      <c r="F2" s="102">
        <v>0.01</v>
      </c>
    </row>
    <row r="3" spans="1:6">
      <c r="A3" s="102" t="s">
        <v>30</v>
      </c>
      <c r="B3" s="102" t="s">
        <v>31</v>
      </c>
      <c r="C3" s="102">
        <v>4.7</v>
      </c>
      <c r="D3" s="102">
        <v>0.7</v>
      </c>
      <c r="E3" s="102">
        <v>5.4</v>
      </c>
      <c r="F3" s="102">
        <v>5.4</v>
      </c>
    </row>
    <row r="4" spans="1:6">
      <c r="A4" s="102" t="s">
        <v>32</v>
      </c>
      <c r="B4" s="102" t="s">
        <v>31</v>
      </c>
      <c r="C4" s="102">
        <v>0.4</v>
      </c>
      <c r="D4" s="102">
        <v>0.6</v>
      </c>
      <c r="E4" s="102">
        <v>1.1000000000000001</v>
      </c>
      <c r="F4" s="102">
        <v>3.3</v>
      </c>
    </row>
    <row r="5" spans="1:6">
      <c r="A5" s="102" t="s">
        <v>33</v>
      </c>
      <c r="B5" s="102" t="s">
        <v>31</v>
      </c>
      <c r="C5" s="102">
        <v>1</v>
      </c>
      <c r="D5" s="102">
        <v>0.1</v>
      </c>
      <c r="E5" s="102">
        <v>1.1000000000000001</v>
      </c>
      <c r="F5" s="102">
        <v>2.8</v>
      </c>
    </row>
    <row r="6" spans="1:6" ht="28.8">
      <c r="A6" s="102" t="s">
        <v>190</v>
      </c>
      <c r="B6" s="102" t="s">
        <v>161</v>
      </c>
      <c r="C6" s="102">
        <v>5</v>
      </c>
      <c r="D6" s="102">
        <v>0</v>
      </c>
      <c r="E6" s="102">
        <v>5</v>
      </c>
      <c r="F6" s="102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B9FC-C258-458B-8FDD-ECB78848CB84}">
  <dimension ref="A1:C6"/>
  <sheetViews>
    <sheetView workbookViewId="0">
      <selection activeCell="B3" sqref="B3"/>
    </sheetView>
  </sheetViews>
  <sheetFormatPr defaultColWidth="21.33203125" defaultRowHeight="14.4"/>
  <sheetData>
    <row r="1" spans="1:3">
      <c r="A1" t="s">
        <v>191</v>
      </c>
      <c r="B1" t="s">
        <v>192</v>
      </c>
      <c r="C1" t="s">
        <v>193</v>
      </c>
    </row>
    <row r="2" spans="1:3">
      <c r="A2" s="102" t="s">
        <v>127</v>
      </c>
      <c r="B2" s="102">
        <v>61.6</v>
      </c>
      <c r="C2" s="102">
        <v>228.8</v>
      </c>
    </row>
    <row r="3" spans="1:3">
      <c r="A3" s="102" t="s">
        <v>194</v>
      </c>
      <c r="B3" s="102">
        <v>31.8</v>
      </c>
      <c r="C3" s="102">
        <v>93.1</v>
      </c>
    </row>
    <row r="4" spans="1:3">
      <c r="A4" s="102" t="s">
        <v>129</v>
      </c>
      <c r="B4" s="102">
        <v>12.1</v>
      </c>
      <c r="C4" s="102">
        <v>14.6</v>
      </c>
    </row>
    <row r="5" spans="1:3">
      <c r="A5" s="102" t="s">
        <v>41</v>
      </c>
      <c r="B5" s="102">
        <v>3.4</v>
      </c>
      <c r="C5" s="102">
        <v>4.3</v>
      </c>
    </row>
    <row r="6" spans="1:3" ht="28.8">
      <c r="A6" s="102" t="s">
        <v>195</v>
      </c>
      <c r="B6" s="102">
        <v>2.1</v>
      </c>
      <c r="C6" s="102">
        <v>5.0999999999999996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8D2F-174A-414E-BDC0-E2210E1EB407}">
  <dimension ref="A1:B25"/>
  <sheetViews>
    <sheetView workbookViewId="0">
      <selection activeCell="C17" sqref="C17"/>
    </sheetView>
  </sheetViews>
  <sheetFormatPr defaultColWidth="32.5546875" defaultRowHeight="14.4"/>
  <sheetData>
    <row r="1" spans="1:2">
      <c r="A1" s="104" t="s">
        <v>201</v>
      </c>
      <c r="B1" s="108" t="s">
        <v>202</v>
      </c>
    </row>
    <row r="2" spans="1:2">
      <c r="A2" s="102" t="s">
        <v>203</v>
      </c>
      <c r="B2" s="106" t="s">
        <v>204</v>
      </c>
    </row>
    <row r="3" spans="1:2">
      <c r="A3" s="107" t="s">
        <v>205</v>
      </c>
      <c r="B3" s="106">
        <v>559</v>
      </c>
    </row>
    <row r="4" spans="1:2">
      <c r="A4" s="107" t="s">
        <v>163</v>
      </c>
      <c r="B4" s="106">
        <v>433</v>
      </c>
    </row>
    <row r="5" spans="1:2">
      <c r="A5" s="107" t="s">
        <v>206</v>
      </c>
      <c r="B5" s="106">
        <v>126</v>
      </c>
    </row>
    <row r="6" spans="1:2">
      <c r="A6" s="107" t="s">
        <v>207</v>
      </c>
      <c r="B6" s="106">
        <v>517</v>
      </c>
    </row>
    <row r="7" spans="1:2">
      <c r="A7" s="107" t="s">
        <v>179</v>
      </c>
      <c r="B7" s="106">
        <v>392</v>
      </c>
    </row>
    <row r="8" spans="1:2">
      <c r="A8" s="107" t="s">
        <v>180</v>
      </c>
      <c r="B8" s="106">
        <v>125</v>
      </c>
    </row>
    <row r="9" spans="1:2">
      <c r="A9" s="107" t="s">
        <v>208</v>
      </c>
      <c r="B9" s="106">
        <v>42</v>
      </c>
    </row>
    <row r="10" spans="1:2">
      <c r="A10" s="107" t="s">
        <v>182</v>
      </c>
      <c r="B10" s="106">
        <v>41</v>
      </c>
    </row>
    <row r="11" spans="1:2">
      <c r="A11" s="107" t="s">
        <v>183</v>
      </c>
      <c r="B11" s="106">
        <v>1</v>
      </c>
    </row>
    <row r="12" spans="1:2" ht="28.8">
      <c r="A12" s="107" t="s">
        <v>209</v>
      </c>
      <c r="B12" s="106">
        <v>322</v>
      </c>
    </row>
    <row r="13" spans="1:2" ht="28.8">
      <c r="A13" s="107" t="s">
        <v>210</v>
      </c>
      <c r="B13" s="106">
        <v>13</v>
      </c>
    </row>
    <row r="14" spans="1:2" ht="28.8">
      <c r="A14" s="107" t="s">
        <v>211</v>
      </c>
      <c r="B14" s="106">
        <v>335</v>
      </c>
    </row>
    <row r="16" spans="1:2">
      <c r="A16" s="104" t="s">
        <v>201</v>
      </c>
      <c r="B16" s="108" t="s">
        <v>202</v>
      </c>
    </row>
    <row r="17" spans="1:2">
      <c r="A17" s="102" t="s">
        <v>212</v>
      </c>
      <c r="B17" s="106" t="s">
        <v>204</v>
      </c>
    </row>
    <row r="18" spans="1:2">
      <c r="A18" s="102" t="s">
        <v>213</v>
      </c>
      <c r="B18" s="106" t="s">
        <v>214</v>
      </c>
    </row>
    <row r="19" spans="1:2">
      <c r="A19" s="102" t="s">
        <v>215</v>
      </c>
      <c r="B19" s="106" t="s">
        <v>216</v>
      </c>
    </row>
    <row r="20" spans="1:2">
      <c r="A20" s="102" t="s">
        <v>217</v>
      </c>
      <c r="B20" s="106" t="s">
        <v>216</v>
      </c>
    </row>
    <row r="21" spans="1:2">
      <c r="A21" s="102" t="s">
        <v>218</v>
      </c>
      <c r="B21" s="106">
        <v>5</v>
      </c>
    </row>
    <row r="22" spans="1:2">
      <c r="A22" s="102" t="s">
        <v>219</v>
      </c>
      <c r="B22" s="106" t="s">
        <v>220</v>
      </c>
    </row>
    <row r="23" spans="1:2">
      <c r="A23" s="102" t="s">
        <v>221</v>
      </c>
      <c r="B23" s="106" t="s">
        <v>222</v>
      </c>
    </row>
    <row r="24" spans="1:2">
      <c r="A24" s="102" t="s">
        <v>223</v>
      </c>
      <c r="B24" s="106" t="s">
        <v>224</v>
      </c>
    </row>
    <row r="25" spans="1:2">
      <c r="A25" s="102" t="s">
        <v>225</v>
      </c>
      <c r="B25" s="106" t="s">
        <v>226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8FB0-E0F2-4A6B-909D-2F118CDBB39C}">
  <dimension ref="A1:C3"/>
  <sheetViews>
    <sheetView workbookViewId="0">
      <selection activeCell="A2" sqref="A2"/>
    </sheetView>
  </sheetViews>
  <sheetFormatPr defaultColWidth="24.44140625" defaultRowHeight="14.4"/>
  <sheetData>
    <row r="1" spans="1:3">
      <c r="A1" s="104" t="s">
        <v>196</v>
      </c>
      <c r="B1" s="104" t="s">
        <v>197</v>
      </c>
      <c r="C1" s="104" t="s">
        <v>198</v>
      </c>
    </row>
    <row r="2" spans="1:3">
      <c r="A2" s="107" t="s">
        <v>199</v>
      </c>
      <c r="B2" s="106" t="s">
        <v>185</v>
      </c>
      <c r="C2" s="105" t="s">
        <v>200</v>
      </c>
    </row>
    <row r="3" spans="1:3">
      <c r="A3" s="107" t="s">
        <v>36</v>
      </c>
      <c r="B3" s="106" t="s">
        <v>12</v>
      </c>
      <c r="C3" s="102">
        <v>0.8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9"/>
  <sheetViews>
    <sheetView topLeftCell="P1" workbookViewId="0"/>
  </sheetViews>
  <sheetFormatPr defaultColWidth="11.44140625" defaultRowHeight="14.4"/>
  <cols>
    <col min="2" max="2" width="154.6640625" bestFit="1" customWidth="1"/>
  </cols>
  <sheetData>
    <row r="1" spans="2:2">
      <c r="B1" s="12"/>
    </row>
    <row r="2" spans="2:2" ht="20.25" customHeight="1">
      <c r="B2" s="13" t="s">
        <v>0</v>
      </c>
    </row>
    <row r="3" spans="2:2" ht="20.25" customHeight="1">
      <c r="B3" s="13"/>
    </row>
    <row r="4" spans="2:2" ht="15.75" customHeight="1">
      <c r="B4" s="18" t="s">
        <v>1</v>
      </c>
    </row>
    <row r="5" spans="2:2" ht="15.75" customHeight="1">
      <c r="B5" s="18" t="s">
        <v>2</v>
      </c>
    </row>
    <row r="6" spans="2:2" ht="15.75" customHeight="1">
      <c r="B6" s="18"/>
    </row>
    <row r="7" spans="2:2" ht="15.75" customHeight="1">
      <c r="B7" s="18" t="s">
        <v>3</v>
      </c>
    </row>
    <row r="8" spans="2:2" ht="15.75" customHeight="1">
      <c r="B8" s="18"/>
    </row>
    <row r="9" spans="2:2" ht="30.75" customHeight="1">
      <c r="B9" s="19" t="s">
        <v>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S58"/>
  <sheetViews>
    <sheetView showGridLines="0" topLeftCell="C1" zoomScale="82" zoomScaleNormal="53" workbookViewId="0">
      <selection activeCell="L18" sqref="L18"/>
    </sheetView>
  </sheetViews>
  <sheetFormatPr defaultColWidth="9.109375" defaultRowHeight="14.4"/>
  <cols>
    <col min="1" max="1" width="24.109375" customWidth="1"/>
    <col min="2" max="2" width="28.109375" customWidth="1"/>
    <col min="3" max="3" width="55.109375" style="7" bestFit="1" customWidth="1"/>
    <col min="4" max="4" width="14.44140625" customWidth="1"/>
    <col min="5" max="5" width="20.88671875" customWidth="1"/>
    <col min="6" max="6" width="20" customWidth="1"/>
    <col min="7" max="7" width="24.44140625" customWidth="1"/>
    <col min="8" max="8" width="19.88671875" customWidth="1"/>
    <col min="9" max="9" width="14.33203125" customWidth="1"/>
    <col min="10" max="45" width="9.109375" customWidth="1"/>
    <col min="46" max="46" width="9.109375" style="1" customWidth="1"/>
    <col min="47" max="16384" width="9.109375" style="1"/>
  </cols>
  <sheetData>
    <row r="1" spans="1:11">
      <c r="A1" s="41" t="s">
        <v>5</v>
      </c>
      <c r="B1" s="8"/>
    </row>
    <row r="3" spans="1:11">
      <c r="A3" s="30" t="s">
        <v>6</v>
      </c>
      <c r="B3" s="16"/>
      <c r="C3" s="10"/>
      <c r="D3" s="16"/>
      <c r="E3" s="16"/>
      <c r="F3" s="16"/>
      <c r="G3" s="16"/>
      <c r="H3" s="16"/>
      <c r="I3" s="16"/>
    </row>
    <row r="4" spans="1:11">
      <c r="A4" s="16"/>
      <c r="B4" s="20"/>
      <c r="C4" s="20"/>
      <c r="D4" s="22"/>
      <c r="E4" s="114" t="s">
        <v>7</v>
      </c>
      <c r="F4" s="111"/>
      <c r="G4" s="111"/>
      <c r="H4" s="112"/>
      <c r="I4" s="20"/>
      <c r="J4" s="2"/>
      <c r="K4" s="2"/>
    </row>
    <row r="5" spans="1:11" ht="43.5" customHeight="1">
      <c r="A5" s="16"/>
      <c r="B5" s="21"/>
      <c r="C5" s="24"/>
      <c r="D5" s="14" t="s">
        <v>8</v>
      </c>
      <c r="E5" s="113" t="s">
        <v>9</v>
      </c>
      <c r="F5" s="111"/>
      <c r="G5" s="111"/>
      <c r="H5" s="112"/>
      <c r="I5" s="29"/>
      <c r="J5" s="2"/>
      <c r="K5" s="2"/>
    </row>
    <row r="6" spans="1:11">
      <c r="A6" s="36" t="s">
        <v>10</v>
      </c>
      <c r="B6" s="34" t="s">
        <v>11</v>
      </c>
      <c r="C6" s="34"/>
      <c r="D6" s="35" t="s">
        <v>12</v>
      </c>
      <c r="E6" s="115"/>
      <c r="F6" s="116"/>
      <c r="G6" s="117"/>
      <c r="H6" s="37">
        <v>111.093885375</v>
      </c>
    </row>
    <row r="7" spans="1:11">
      <c r="A7" s="16"/>
      <c r="B7" s="9"/>
      <c r="C7" s="17"/>
      <c r="D7" s="17"/>
      <c r="E7" s="15"/>
      <c r="F7" s="15"/>
      <c r="G7" s="15"/>
      <c r="H7" s="25"/>
      <c r="I7" s="28"/>
      <c r="J7" s="2"/>
      <c r="K7" s="2"/>
    </row>
    <row r="8" spans="1:11">
      <c r="A8" s="16"/>
      <c r="B8" s="9"/>
      <c r="C8" s="24"/>
      <c r="D8" s="11"/>
      <c r="E8" s="27" t="s">
        <v>13</v>
      </c>
      <c r="F8" s="27" t="s">
        <v>14</v>
      </c>
      <c r="G8" s="27" t="s">
        <v>15</v>
      </c>
      <c r="H8" s="27" t="s">
        <v>16</v>
      </c>
      <c r="I8" s="27" t="s">
        <v>17</v>
      </c>
      <c r="J8" s="2"/>
      <c r="K8" s="2"/>
    </row>
    <row r="9" spans="1:11">
      <c r="A9" s="23" t="s">
        <v>18</v>
      </c>
      <c r="B9" s="31"/>
      <c r="C9" s="26" t="s">
        <v>19</v>
      </c>
      <c r="D9" s="26" t="s">
        <v>20</v>
      </c>
      <c r="E9" s="110"/>
      <c r="F9" s="111"/>
      <c r="G9" s="112"/>
      <c r="H9" s="81">
        <v>450</v>
      </c>
      <c r="I9" s="80">
        <v>750</v>
      </c>
      <c r="J9" s="2"/>
      <c r="K9" s="2"/>
    </row>
    <row r="10" spans="1:11">
      <c r="A10" s="43" t="s">
        <v>21</v>
      </c>
      <c r="B10" s="38" t="s">
        <v>22</v>
      </c>
      <c r="C10" s="44" t="s">
        <v>23</v>
      </c>
      <c r="D10" s="39" t="s">
        <v>20</v>
      </c>
      <c r="E10" s="45">
        <v>283</v>
      </c>
      <c r="F10" s="45">
        <v>31</v>
      </c>
      <c r="G10" s="45">
        <v>78</v>
      </c>
      <c r="H10" s="45">
        <v>392</v>
      </c>
      <c r="I10" s="46">
        <v>517</v>
      </c>
    </row>
    <row r="11" spans="1:11">
      <c r="A11" s="47"/>
      <c r="B11" s="48"/>
      <c r="C11" s="49" t="s">
        <v>24</v>
      </c>
      <c r="D11" s="50" t="s">
        <v>20</v>
      </c>
      <c r="E11" s="51">
        <v>1</v>
      </c>
      <c r="F11" s="51">
        <v>0</v>
      </c>
      <c r="G11" s="51">
        <v>0</v>
      </c>
      <c r="H11" s="51">
        <v>1</v>
      </c>
      <c r="I11" s="52">
        <v>1</v>
      </c>
    </row>
    <row r="12" spans="1:11">
      <c r="A12" s="47"/>
      <c r="B12" s="48"/>
      <c r="C12" s="53" t="s">
        <v>25</v>
      </c>
      <c r="D12" s="50" t="s">
        <v>20</v>
      </c>
      <c r="E12" s="51">
        <v>0</v>
      </c>
      <c r="F12" s="51">
        <v>1</v>
      </c>
      <c r="G12" s="51">
        <v>0</v>
      </c>
      <c r="H12" s="51">
        <v>1</v>
      </c>
      <c r="I12" s="52">
        <v>1</v>
      </c>
    </row>
    <row r="13" spans="1:11">
      <c r="A13" s="47"/>
      <c r="B13" s="48"/>
      <c r="C13" s="53" t="s">
        <v>26</v>
      </c>
      <c r="D13" s="50" t="s">
        <v>20</v>
      </c>
      <c r="E13" s="51">
        <v>37</v>
      </c>
      <c r="F13" s="51">
        <v>0</v>
      </c>
      <c r="G13" s="51">
        <v>0</v>
      </c>
      <c r="H13" s="51">
        <v>37</v>
      </c>
      <c r="I13" s="52">
        <v>38</v>
      </c>
    </row>
    <row r="14" spans="1:11">
      <c r="A14" s="54"/>
      <c r="B14" s="55"/>
      <c r="C14" s="56" t="s">
        <v>27</v>
      </c>
      <c r="D14" s="57" t="s">
        <v>20</v>
      </c>
      <c r="E14" s="58">
        <v>2</v>
      </c>
      <c r="F14" s="58">
        <v>0</v>
      </c>
      <c r="G14" s="58">
        <v>0</v>
      </c>
      <c r="H14" s="58">
        <v>2</v>
      </c>
      <c r="I14" s="59">
        <v>2</v>
      </c>
    </row>
    <row r="15" spans="1:11">
      <c r="A15" s="43"/>
      <c r="B15" s="38" t="s">
        <v>28</v>
      </c>
      <c r="C15" s="60" t="s">
        <v>29</v>
      </c>
      <c r="D15" s="39" t="s">
        <v>12</v>
      </c>
      <c r="E15" s="61">
        <v>9.6635845000000008E-3</v>
      </c>
      <c r="F15" s="61">
        <v>0</v>
      </c>
      <c r="G15" s="61">
        <v>0</v>
      </c>
      <c r="H15" s="61">
        <v>9.6635845000000008E-3</v>
      </c>
      <c r="I15" s="40">
        <v>9.6635845000000008E-3</v>
      </c>
    </row>
    <row r="16" spans="1:11">
      <c r="A16" s="47"/>
      <c r="B16" s="48"/>
      <c r="C16" s="53" t="s">
        <v>30</v>
      </c>
      <c r="D16" s="50" t="s">
        <v>31</v>
      </c>
      <c r="E16" s="62">
        <v>4.7300400900000001</v>
      </c>
      <c r="F16" s="62">
        <v>0</v>
      </c>
      <c r="G16" s="62">
        <v>0.71657790529999998</v>
      </c>
      <c r="H16" s="62">
        <v>5.4466179952999996</v>
      </c>
      <c r="I16" s="63">
        <v>5.4466179952999996</v>
      </c>
    </row>
    <row r="17" spans="1:9">
      <c r="A17" s="47"/>
      <c r="B17" s="48"/>
      <c r="C17" s="53" t="s">
        <v>32</v>
      </c>
      <c r="D17" s="50" t="s">
        <v>31</v>
      </c>
      <c r="E17" s="62">
        <v>0.41461814470000002</v>
      </c>
      <c r="F17" s="62">
        <v>0</v>
      </c>
      <c r="G17" s="62">
        <v>0.64683415339999994</v>
      </c>
      <c r="H17" s="62">
        <v>1.0614522981000001</v>
      </c>
      <c r="I17" s="63">
        <v>3.2523945264999998</v>
      </c>
    </row>
    <row r="18" spans="1:9">
      <c r="A18" s="47"/>
      <c r="B18" s="48"/>
      <c r="C18" s="53" t="s">
        <v>33</v>
      </c>
      <c r="D18" s="50" t="s">
        <v>31</v>
      </c>
      <c r="E18" s="62">
        <v>1.0035421529999999</v>
      </c>
      <c r="F18" s="62">
        <v>0</v>
      </c>
      <c r="G18" s="62">
        <v>0.12265320289999999</v>
      </c>
      <c r="H18" s="62">
        <v>1.1261953559</v>
      </c>
      <c r="I18" s="63">
        <v>2.8074621451000001</v>
      </c>
    </row>
    <row r="19" spans="1:9">
      <c r="A19" s="54"/>
      <c r="B19" s="55"/>
      <c r="C19" s="64" t="s">
        <v>34</v>
      </c>
      <c r="D19" s="57" t="s">
        <v>20</v>
      </c>
      <c r="E19" s="58">
        <v>5</v>
      </c>
      <c r="F19" s="58">
        <v>0</v>
      </c>
      <c r="G19" s="58">
        <v>0</v>
      </c>
      <c r="H19" s="58">
        <v>5</v>
      </c>
      <c r="I19" s="59">
        <v>5</v>
      </c>
    </row>
    <row r="20" spans="1:9">
      <c r="A20" s="65"/>
      <c r="B20" s="66" t="s">
        <v>35</v>
      </c>
      <c r="C20" s="67" t="s">
        <v>36</v>
      </c>
      <c r="D20" s="68" t="s">
        <v>12</v>
      </c>
      <c r="E20" s="69">
        <v>0.76353273700000002</v>
      </c>
      <c r="F20" s="69">
        <v>0</v>
      </c>
      <c r="G20" s="69">
        <v>0</v>
      </c>
      <c r="H20" s="69">
        <v>0.76353273700000002</v>
      </c>
      <c r="I20" s="70">
        <v>0.76353273700000002</v>
      </c>
    </row>
    <row r="21" spans="1:9">
      <c r="A21" s="71"/>
      <c r="B21" s="72" t="s">
        <v>37</v>
      </c>
      <c r="C21" s="73" t="s">
        <v>38</v>
      </c>
      <c r="D21" s="39" t="s">
        <v>12</v>
      </c>
      <c r="E21" s="61"/>
      <c r="F21" s="61"/>
      <c r="G21" s="61"/>
      <c r="H21" s="61">
        <v>61.621214702099998</v>
      </c>
      <c r="I21" s="40">
        <v>228.81165214999999</v>
      </c>
    </row>
    <row r="22" spans="1:9">
      <c r="A22" s="74"/>
      <c r="B22" s="74"/>
      <c r="C22" s="75" t="s">
        <v>39</v>
      </c>
      <c r="D22" s="50" t="s">
        <v>12</v>
      </c>
      <c r="E22" s="62"/>
      <c r="F22" s="62"/>
      <c r="G22" s="62"/>
      <c r="H22" s="62">
        <v>31.840531776100001</v>
      </c>
      <c r="I22" s="63">
        <v>93.0794528168</v>
      </c>
    </row>
    <row r="23" spans="1:9">
      <c r="A23" s="74"/>
      <c r="B23" s="74"/>
      <c r="C23" s="75" t="s">
        <v>40</v>
      </c>
      <c r="D23" s="50" t="s">
        <v>12</v>
      </c>
      <c r="E23" s="62"/>
      <c r="F23" s="62"/>
      <c r="G23" s="62"/>
      <c r="H23" s="62">
        <v>12.1166119315</v>
      </c>
      <c r="I23" s="63">
        <v>14.5613230625</v>
      </c>
    </row>
    <row r="24" spans="1:9">
      <c r="A24" s="74"/>
      <c r="B24" s="74"/>
      <c r="C24" s="75" t="s">
        <v>41</v>
      </c>
      <c r="D24" s="50" t="s">
        <v>12</v>
      </c>
      <c r="E24" s="62"/>
      <c r="F24" s="62"/>
      <c r="G24" s="62"/>
      <c r="H24" s="62">
        <v>3.3730878612000001</v>
      </c>
      <c r="I24" s="63">
        <v>4.2848303165999999</v>
      </c>
    </row>
    <row r="25" spans="1:9">
      <c r="A25" s="76"/>
      <c r="B25" s="76"/>
      <c r="C25" s="77" t="s">
        <v>42</v>
      </c>
      <c r="D25" s="57" t="s">
        <v>12</v>
      </c>
      <c r="E25" s="78"/>
      <c r="F25" s="78"/>
      <c r="G25" s="78"/>
      <c r="H25" s="78">
        <v>2.1424308189999999</v>
      </c>
      <c r="I25" s="79">
        <v>5.0941431740000001</v>
      </c>
    </row>
    <row r="26" spans="1:9">
      <c r="B26" s="3"/>
      <c r="C26" s="5"/>
      <c r="D26" s="4"/>
      <c r="E26" s="33"/>
      <c r="F26" s="33"/>
      <c r="G26" s="33"/>
    </row>
    <row r="27" spans="1:9">
      <c r="A27" s="33" t="s">
        <v>43</v>
      </c>
      <c r="B27" s="3"/>
      <c r="C27" s="5"/>
      <c r="D27" s="4"/>
      <c r="E27" s="33"/>
      <c r="F27" s="33"/>
      <c r="G27" s="33"/>
    </row>
    <row r="28" spans="1:9">
      <c r="A28" s="33" t="s">
        <v>44</v>
      </c>
      <c r="B28" s="3"/>
      <c r="C28" s="5"/>
      <c r="D28" s="4"/>
      <c r="E28" s="33"/>
      <c r="F28" s="33"/>
      <c r="G28" s="33"/>
    </row>
    <row r="29" spans="1:9">
      <c r="B29" s="3"/>
      <c r="C29" s="5"/>
      <c r="D29" s="4"/>
      <c r="E29" s="33"/>
      <c r="F29" s="33"/>
      <c r="G29" s="33"/>
    </row>
    <row r="30" spans="1:9">
      <c r="A30" s="82" t="s">
        <v>45</v>
      </c>
      <c r="B30" s="3"/>
      <c r="C30" s="5"/>
      <c r="D30" s="4"/>
      <c r="E30" s="33"/>
      <c r="F30" s="33"/>
      <c r="G30" s="33"/>
    </row>
    <row r="31" spans="1:9">
      <c r="A31" s="33" t="s">
        <v>46</v>
      </c>
      <c r="B31" s="3"/>
      <c r="C31" s="5"/>
      <c r="D31" s="4"/>
      <c r="E31" s="33"/>
      <c r="F31" s="33"/>
      <c r="G31" s="33"/>
    </row>
    <row r="32" spans="1:9">
      <c r="A32" s="83" t="str">
        <f>HYPERLINK("https://mapping.emergency.copernicus.eu/about/rapid-mapping-manual/", "https://mapping.emergency.copernicus.eu/about/rapid-mapping-manual/")</f>
        <v>https://mapping.emergency.copernicus.eu/about/rapid-mapping-manual/</v>
      </c>
      <c r="B32" s="3"/>
      <c r="C32" s="5"/>
      <c r="D32" s="4"/>
      <c r="E32" s="84" t="s">
        <v>47</v>
      </c>
      <c r="F32" s="33"/>
      <c r="G32" s="33"/>
    </row>
    <row r="33" spans="1:7">
      <c r="A33" s="33" t="str">
        <f>CONCATENATE(CHAR(169)," European Union / Copernicus Emergency Management Service")</f>
        <v>© European Union / Copernicus Emergency Management Service</v>
      </c>
      <c r="B33" s="3"/>
      <c r="C33" s="5"/>
      <c r="D33" s="4"/>
      <c r="E33" s="33"/>
      <c r="F33" s="33"/>
      <c r="G33" s="33"/>
    </row>
    <row r="34" spans="1:7">
      <c r="B34" s="3"/>
      <c r="C34" s="5"/>
      <c r="D34" s="4"/>
      <c r="E34" s="33"/>
      <c r="F34" s="33"/>
      <c r="G34" s="33"/>
    </row>
    <row r="35" spans="1:7">
      <c r="B35" s="3"/>
      <c r="C35" s="5"/>
      <c r="D35" s="4"/>
      <c r="E35" s="33"/>
      <c r="F35" s="33"/>
      <c r="G35" s="33"/>
    </row>
    <row r="36" spans="1:7">
      <c r="A36" s="82" t="s">
        <v>48</v>
      </c>
      <c r="B36" s="3"/>
      <c r="C36" s="5"/>
      <c r="D36" s="4"/>
      <c r="E36" s="33"/>
      <c r="F36" s="33"/>
      <c r="G36" s="33"/>
    </row>
    <row r="37" spans="1:7">
      <c r="A37" s="33" t="s">
        <v>49</v>
      </c>
      <c r="B37" s="3"/>
      <c r="C37" s="5"/>
      <c r="D37" s="4"/>
      <c r="E37" s="33"/>
      <c r="F37" s="33"/>
      <c r="G37" s="33"/>
    </row>
    <row r="38" spans="1:7">
      <c r="A38" s="33" t="s">
        <v>50</v>
      </c>
      <c r="B38" s="3"/>
      <c r="C38" s="5"/>
      <c r="D38" s="4"/>
      <c r="E38" s="33"/>
      <c r="F38" s="33"/>
      <c r="G38" s="33"/>
    </row>
    <row r="39" spans="1:7">
      <c r="A39" s="33" t="s">
        <v>51</v>
      </c>
      <c r="B39" s="3"/>
      <c r="C39" s="6"/>
      <c r="D39" s="4"/>
      <c r="E39" s="33"/>
      <c r="F39" s="33"/>
      <c r="G39" s="33"/>
    </row>
    <row r="40" spans="1:7">
      <c r="A40" s="33" t="s">
        <v>52</v>
      </c>
      <c r="B40" s="3"/>
      <c r="C40" s="6"/>
      <c r="D40" s="4"/>
      <c r="E40" s="33"/>
      <c r="F40" s="33"/>
      <c r="G40" s="33"/>
    </row>
    <row r="41" spans="1:7">
      <c r="B41" s="3"/>
      <c r="C41" s="6"/>
      <c r="D41" s="4"/>
      <c r="E41" s="33"/>
      <c r="F41" s="33"/>
      <c r="G41" s="33"/>
    </row>
    <row r="42" spans="1:7">
      <c r="B42" s="3"/>
      <c r="C42" s="6"/>
      <c r="D42" s="4"/>
      <c r="E42" s="33"/>
      <c r="F42" s="33"/>
      <c r="G42" s="33"/>
    </row>
    <row r="43" spans="1:7">
      <c r="A43" s="82" t="s">
        <v>53</v>
      </c>
      <c r="B43" s="3"/>
      <c r="C43" s="6"/>
      <c r="D43" s="4"/>
      <c r="E43" s="33"/>
      <c r="F43" s="33"/>
      <c r="G43" s="33"/>
    </row>
    <row r="44" spans="1:7">
      <c r="A44" s="33" t="s">
        <v>54</v>
      </c>
      <c r="B44" s="3"/>
      <c r="C44" s="6"/>
      <c r="D44" s="4"/>
      <c r="E44" s="33"/>
      <c r="F44" s="33"/>
      <c r="G44" s="33"/>
    </row>
    <row r="45" spans="1:7">
      <c r="A45" s="33" t="s">
        <v>55</v>
      </c>
      <c r="B45" s="3"/>
      <c r="C45" s="6"/>
      <c r="D45" s="4"/>
      <c r="E45" s="33"/>
      <c r="F45" s="33"/>
      <c r="G45" s="33"/>
    </row>
    <row r="46" spans="1:7">
      <c r="B46" s="3"/>
      <c r="C46" s="6"/>
      <c r="D46" s="4"/>
      <c r="E46" s="33"/>
      <c r="F46" s="33"/>
      <c r="G46" s="33"/>
    </row>
    <row r="47" spans="1:7">
      <c r="B47" s="3"/>
      <c r="C47" s="6"/>
      <c r="D47" s="4"/>
      <c r="E47" s="33"/>
      <c r="F47" s="33"/>
      <c r="G47" s="33"/>
    </row>
    <row r="48" spans="1:7">
      <c r="A48" s="82" t="s">
        <v>56</v>
      </c>
      <c r="B48" s="3"/>
      <c r="C48" s="6"/>
      <c r="D48" s="4"/>
      <c r="E48" s="33"/>
      <c r="F48" s="33"/>
      <c r="G48" s="33"/>
    </row>
    <row r="49" spans="1:45">
      <c r="A49" s="33" t="str">
        <f>CONCATENATE("Base  Vector  Layers: OpenStreetMap ", CHAR(169)," OpenStreetMap contributors  (2026); Wikimapia.org; GeoNames  2015; ")</f>
        <v xml:space="preserve">Base  Vector  Layers: OpenStreetMap © OpenStreetMap contributors  (2026); Wikimapia.org; GeoNames  2015; </v>
      </c>
      <c r="B49" s="3"/>
      <c r="C49" s="6"/>
      <c r="D49" s="4"/>
      <c r="E49" s="33"/>
      <c r="F49" s="33"/>
      <c r="G49" s="33"/>
    </row>
    <row r="50" spans="1:45">
      <c r="A50" s="33" t="str">
        <f>CONCATENATE("",CHAR(169)," EuroGeographics, ",CHAR(169)," TurkStat. Source: European Commission – Eurostat/GISCO, 2024." )</f>
        <v>© EuroGeographics, © TurkStat. Source: European Commission – Eurostat/GISCO, 2024.</v>
      </c>
      <c r="B50" s="3"/>
      <c r="C50" s="6"/>
      <c r="D50" s="4"/>
      <c r="E50" s="33"/>
      <c r="F50" s="33"/>
      <c r="G50" s="33"/>
    </row>
    <row r="51" spans="1:45">
      <c r="A51" s="33" t="s">
        <v>57</v>
      </c>
      <c r="E51" s="33"/>
      <c r="F51" s="33"/>
      <c r="G51" s="33"/>
    </row>
    <row r="52" spans="1:45">
      <c r="E52" s="33"/>
      <c r="F52" s="33"/>
      <c r="G52" s="33"/>
    </row>
    <row r="53" spans="1:45">
      <c r="A53" s="33" t="s">
        <v>58</v>
      </c>
      <c r="E53" s="33"/>
      <c r="F53" s="33"/>
      <c r="G53" s="33"/>
    </row>
    <row r="54" spans="1:45">
      <c r="A54" s="33" t="str">
        <f>CONCATENATE("",CHAR(169)," EuroGeographics, ",CHAR(169)," TurkStat. Source: European Commission – Eurostat/GISCO, 2024." )</f>
        <v>© EuroGeographics, © TurkStat. Source: European Commission – Eurostat/GISCO, 2024.</v>
      </c>
      <c r="E54" s="33"/>
      <c r="F54" s="33"/>
      <c r="G54" s="33"/>
    </row>
    <row r="55" spans="1:45">
      <c r="E55" s="33"/>
      <c r="F55" s="33"/>
      <c r="G55" s="33"/>
    </row>
    <row r="56" spans="1:45">
      <c r="A56" s="33" t="s">
        <v>59</v>
      </c>
      <c r="E56" s="33"/>
      <c r="F56" s="33"/>
      <c r="G56" s="33"/>
    </row>
    <row r="57" spans="1:45" s="96" customFormat="1">
      <c r="A57" s="33" t="s">
        <v>60</v>
      </c>
      <c r="B57" s="94"/>
      <c r="C57" s="95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</row>
    <row r="58" spans="1:45" s="96" customFormat="1">
      <c r="A58" s="33" t="s">
        <v>61</v>
      </c>
      <c r="B58" s="94"/>
      <c r="C58" s="95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</row>
  </sheetData>
  <mergeCells count="4">
    <mergeCell ref="E9:G9"/>
    <mergeCell ref="E5:H5"/>
    <mergeCell ref="E4:H4"/>
    <mergeCell ref="E6:G6"/>
  </mergeCells>
  <pageMargins left="0.7" right="0.7" top="0.75" bottom="0.75" header="0.3" footer="0.3"/>
  <pageSetup paperSize="9" scale="1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RowHeight="14.4"/>
  <cols>
    <col min="1" max="10" width="23" customWidth="1"/>
  </cols>
  <sheetData>
    <row r="1" spans="1:10">
      <c r="A1" t="s">
        <v>62</v>
      </c>
    </row>
    <row r="3" spans="1:10" ht="39.6">
      <c r="A3" s="85" t="s">
        <v>63</v>
      </c>
      <c r="B3" s="85" t="s">
        <v>64</v>
      </c>
      <c r="C3" s="85" t="s">
        <v>65</v>
      </c>
      <c r="D3" s="85" t="s">
        <v>66</v>
      </c>
      <c r="E3" s="85" t="s">
        <v>67</v>
      </c>
      <c r="F3" s="85" t="s">
        <v>68</v>
      </c>
      <c r="G3" s="85" t="s">
        <v>69</v>
      </c>
      <c r="H3" s="85" t="s">
        <v>70</v>
      </c>
      <c r="I3" s="85" t="s">
        <v>71</v>
      </c>
      <c r="J3" s="85" t="s">
        <v>72</v>
      </c>
    </row>
    <row r="4" spans="1:10" ht="51">
      <c r="A4" s="86" t="s">
        <v>73</v>
      </c>
      <c r="B4" s="87" t="s">
        <v>74</v>
      </c>
      <c r="C4" s="87" t="s">
        <v>75</v>
      </c>
      <c r="D4" s="87" t="s">
        <v>76</v>
      </c>
      <c r="E4" s="87" t="s">
        <v>77</v>
      </c>
      <c r="F4" s="87" t="str">
        <f>HYPERLINK("https://www.worldpop.org", "WorldPop (www.worldpop.org)")</f>
        <v>WorldPop (www.worldpop.org)</v>
      </c>
      <c r="G4" s="87" t="s">
        <v>78</v>
      </c>
      <c r="H4" s="87" t="s">
        <v>78</v>
      </c>
      <c r="I4" s="87" t="s">
        <v>78</v>
      </c>
      <c r="J4" s="87" t="s">
        <v>79</v>
      </c>
    </row>
    <row r="5" spans="1:10">
      <c r="A5" s="36" t="s">
        <v>17</v>
      </c>
      <c r="B5" s="88">
        <v>765</v>
      </c>
      <c r="C5" s="89">
        <v>82</v>
      </c>
      <c r="D5" s="89">
        <v>593</v>
      </c>
      <c r="E5" s="89">
        <v>986</v>
      </c>
      <c r="F5" s="89">
        <v>297</v>
      </c>
      <c r="G5" s="90">
        <v>545</v>
      </c>
      <c r="H5" s="90">
        <v>323</v>
      </c>
      <c r="I5" s="91">
        <v>59.3</v>
      </c>
      <c r="J5" s="92" t="s">
        <v>80</v>
      </c>
    </row>
    <row r="6" spans="1:10">
      <c r="A6" s="36" t="s">
        <v>81</v>
      </c>
      <c r="B6" s="88">
        <v>448</v>
      </c>
      <c r="C6" s="89">
        <v>47</v>
      </c>
      <c r="D6" s="89">
        <v>523</v>
      </c>
      <c r="E6" s="89">
        <v>541</v>
      </c>
      <c r="F6" s="89">
        <v>116</v>
      </c>
      <c r="G6" s="90">
        <v>335</v>
      </c>
      <c r="H6" s="90">
        <v>210</v>
      </c>
      <c r="I6" s="91">
        <v>62.8</v>
      </c>
      <c r="J6" s="93" t="s">
        <v>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4.4"/>
  <cols>
    <col min="1" max="1" width="10" customWidth="1"/>
    <col min="2" max="5" width="30" customWidth="1"/>
    <col min="6" max="7" width="10" customWidth="1"/>
  </cols>
  <sheetData>
    <row r="1" spans="1:8">
      <c r="A1" s="42" t="s">
        <v>5</v>
      </c>
    </row>
    <row r="2" spans="1:8">
      <c r="A2" s="42" t="s">
        <v>83</v>
      </c>
    </row>
    <row r="4" spans="1:8">
      <c r="A4" s="32" t="s">
        <v>84</v>
      </c>
      <c r="B4" s="32" t="s">
        <v>85</v>
      </c>
      <c r="C4" s="32" t="s">
        <v>86</v>
      </c>
      <c r="D4" s="32" t="s">
        <v>87</v>
      </c>
      <c r="E4" s="32" t="s">
        <v>88</v>
      </c>
      <c r="F4" s="32" t="s">
        <v>89</v>
      </c>
      <c r="G4" s="32" t="s">
        <v>90</v>
      </c>
      <c r="H4" s="32" t="s">
        <v>91</v>
      </c>
    </row>
    <row r="6" spans="1:8">
      <c r="A6" s="33">
        <v>0</v>
      </c>
      <c r="B6" s="33" t="s">
        <v>11</v>
      </c>
      <c r="C6" s="33" t="s">
        <v>92</v>
      </c>
      <c r="D6" s="33" t="s">
        <v>93</v>
      </c>
      <c r="E6" s="33" t="s">
        <v>94</v>
      </c>
      <c r="F6" s="33">
        <v>2</v>
      </c>
      <c r="G6" s="33">
        <v>1</v>
      </c>
      <c r="H6" s="33">
        <v>111.093885375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topLeftCell="G2" workbookViewId="0">
      <selection activeCell="L6" sqref="L6:L19"/>
    </sheetView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95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103</v>
      </c>
    </row>
    <row r="6" spans="1:12">
      <c r="A6" s="33">
        <v>0</v>
      </c>
      <c r="B6" s="33">
        <v>11</v>
      </c>
      <c r="C6" s="33" t="s">
        <v>23</v>
      </c>
      <c r="D6" s="33">
        <v>997</v>
      </c>
      <c r="E6" s="33" t="s">
        <v>94</v>
      </c>
      <c r="F6" s="33" t="s">
        <v>13</v>
      </c>
      <c r="G6" s="33" t="s">
        <v>104</v>
      </c>
      <c r="H6" s="33">
        <v>2</v>
      </c>
      <c r="I6" s="33">
        <v>1</v>
      </c>
      <c r="J6" s="33" t="s">
        <v>94</v>
      </c>
      <c r="K6" s="33">
        <v>160</v>
      </c>
      <c r="L6" s="33">
        <v>160</v>
      </c>
    </row>
    <row r="7" spans="1:12">
      <c r="A7" s="33">
        <v>1</v>
      </c>
      <c r="B7" s="33">
        <v>11</v>
      </c>
      <c r="C7" s="33" t="s">
        <v>23</v>
      </c>
      <c r="D7" s="33">
        <v>997</v>
      </c>
      <c r="E7" s="33" t="s">
        <v>94</v>
      </c>
      <c r="F7" s="33" t="s">
        <v>14</v>
      </c>
      <c r="G7" s="33" t="s">
        <v>104</v>
      </c>
      <c r="H7" s="33">
        <v>2</v>
      </c>
      <c r="I7" s="33">
        <v>2</v>
      </c>
      <c r="J7" s="33" t="s">
        <v>94</v>
      </c>
      <c r="K7" s="33">
        <v>5</v>
      </c>
      <c r="L7" s="33">
        <v>5</v>
      </c>
    </row>
    <row r="8" spans="1:12">
      <c r="A8" s="33">
        <v>2</v>
      </c>
      <c r="B8" s="33">
        <v>11</v>
      </c>
      <c r="C8" s="33" t="s">
        <v>23</v>
      </c>
      <c r="D8" s="33">
        <v>997</v>
      </c>
      <c r="E8" s="33" t="s">
        <v>94</v>
      </c>
      <c r="F8" s="33" t="s">
        <v>105</v>
      </c>
      <c r="G8" s="33" t="s">
        <v>104</v>
      </c>
      <c r="H8" s="33">
        <v>997</v>
      </c>
      <c r="I8" s="33">
        <v>2</v>
      </c>
      <c r="J8" s="33" t="s">
        <v>94</v>
      </c>
      <c r="K8" s="33">
        <v>39</v>
      </c>
      <c r="L8" s="33">
        <v>39</v>
      </c>
    </row>
    <row r="9" spans="1:12">
      <c r="A9" s="33">
        <v>3</v>
      </c>
      <c r="B9" s="33">
        <v>11</v>
      </c>
      <c r="C9" s="33" t="s">
        <v>23</v>
      </c>
      <c r="D9" s="33">
        <v>997</v>
      </c>
      <c r="E9" s="33" t="s">
        <v>94</v>
      </c>
      <c r="F9" s="33" t="s">
        <v>106</v>
      </c>
      <c r="G9" s="33" t="s">
        <v>104</v>
      </c>
      <c r="H9" s="33">
        <v>2</v>
      </c>
      <c r="I9" s="33">
        <v>2</v>
      </c>
      <c r="J9" s="33" t="s">
        <v>94</v>
      </c>
      <c r="K9" s="33">
        <v>26</v>
      </c>
      <c r="L9" s="33">
        <v>26</v>
      </c>
    </row>
    <row r="10" spans="1:12">
      <c r="A10" s="33">
        <v>4</v>
      </c>
      <c r="B10" s="33">
        <v>11</v>
      </c>
      <c r="C10" s="33" t="s">
        <v>23</v>
      </c>
      <c r="D10" s="33">
        <v>997</v>
      </c>
      <c r="E10" s="33" t="s">
        <v>94</v>
      </c>
      <c r="F10" s="33" t="s">
        <v>14</v>
      </c>
      <c r="G10" s="33" t="s">
        <v>104</v>
      </c>
      <c r="H10" s="33">
        <v>2</v>
      </c>
      <c r="I10" s="33">
        <v>994</v>
      </c>
      <c r="J10" s="33" t="s">
        <v>94</v>
      </c>
      <c r="K10" s="33">
        <v>26</v>
      </c>
      <c r="L10" s="33">
        <v>26</v>
      </c>
    </row>
    <row r="11" spans="1:12">
      <c r="A11" s="33">
        <v>5</v>
      </c>
      <c r="B11" s="33">
        <v>11</v>
      </c>
      <c r="C11" s="33" t="s">
        <v>23</v>
      </c>
      <c r="D11" s="33">
        <v>997</v>
      </c>
      <c r="E11" s="33" t="s">
        <v>94</v>
      </c>
      <c r="F11" s="33" t="s">
        <v>13</v>
      </c>
      <c r="G11" s="33" t="s">
        <v>104</v>
      </c>
      <c r="H11" s="33">
        <v>2</v>
      </c>
      <c r="I11" s="33">
        <v>994</v>
      </c>
      <c r="J11" s="33" t="s">
        <v>94</v>
      </c>
      <c r="K11" s="33">
        <v>123</v>
      </c>
      <c r="L11" s="33">
        <v>123</v>
      </c>
    </row>
    <row r="12" spans="1:12">
      <c r="A12" s="33">
        <v>6</v>
      </c>
      <c r="B12" s="33">
        <v>11</v>
      </c>
      <c r="C12" s="33" t="s">
        <v>23</v>
      </c>
      <c r="D12" s="33">
        <v>997</v>
      </c>
      <c r="E12" s="33" t="s">
        <v>94</v>
      </c>
      <c r="F12" s="33" t="s">
        <v>105</v>
      </c>
      <c r="G12" s="33" t="s">
        <v>104</v>
      </c>
      <c r="H12" s="33">
        <v>997</v>
      </c>
      <c r="I12" s="33">
        <v>994</v>
      </c>
      <c r="J12" s="33" t="s">
        <v>94</v>
      </c>
      <c r="K12" s="33">
        <v>86</v>
      </c>
      <c r="L12" s="33">
        <v>86</v>
      </c>
    </row>
    <row r="13" spans="1:12">
      <c r="A13" s="33">
        <v>7</v>
      </c>
      <c r="B13" s="33">
        <v>11</v>
      </c>
      <c r="C13" s="33" t="s">
        <v>23</v>
      </c>
      <c r="D13" s="33">
        <v>997</v>
      </c>
      <c r="E13" s="33" t="s">
        <v>94</v>
      </c>
      <c r="F13" s="33" t="s">
        <v>106</v>
      </c>
      <c r="G13" s="33" t="s">
        <v>104</v>
      </c>
      <c r="H13" s="33">
        <v>2</v>
      </c>
      <c r="I13" s="33">
        <v>994</v>
      </c>
      <c r="J13" s="33" t="s">
        <v>94</v>
      </c>
      <c r="K13" s="33">
        <v>52</v>
      </c>
      <c r="L13" s="33">
        <v>52</v>
      </c>
    </row>
    <row r="14" spans="1:12">
      <c r="A14" s="33">
        <v>8</v>
      </c>
      <c r="B14" s="33">
        <v>12</v>
      </c>
      <c r="C14" s="33" t="s">
        <v>107</v>
      </c>
      <c r="D14" s="33">
        <v>1221</v>
      </c>
      <c r="E14" s="33" t="s">
        <v>24</v>
      </c>
      <c r="F14" s="33" t="s">
        <v>13</v>
      </c>
      <c r="G14" s="33" t="s">
        <v>104</v>
      </c>
      <c r="H14" s="33">
        <v>2</v>
      </c>
      <c r="I14" s="33">
        <v>1</v>
      </c>
      <c r="J14" s="33" t="s">
        <v>94</v>
      </c>
      <c r="K14" s="33">
        <v>1</v>
      </c>
      <c r="L14" s="33">
        <v>1</v>
      </c>
    </row>
    <row r="15" spans="1:12">
      <c r="A15" s="33">
        <v>9</v>
      </c>
      <c r="B15" s="33">
        <v>12</v>
      </c>
      <c r="C15" s="33" t="s">
        <v>107</v>
      </c>
      <c r="D15" s="33">
        <v>127</v>
      </c>
      <c r="E15" s="33" t="s">
        <v>26</v>
      </c>
      <c r="F15" s="33" t="s">
        <v>13</v>
      </c>
      <c r="G15" s="33" t="s">
        <v>104</v>
      </c>
      <c r="H15" s="33">
        <v>2</v>
      </c>
      <c r="I15" s="33">
        <v>1</v>
      </c>
      <c r="J15" s="33" t="s">
        <v>94</v>
      </c>
      <c r="K15" s="33">
        <v>35</v>
      </c>
      <c r="L15" s="33">
        <v>35</v>
      </c>
    </row>
    <row r="16" spans="1:12">
      <c r="A16" s="33">
        <v>10</v>
      </c>
      <c r="B16" s="33">
        <v>12</v>
      </c>
      <c r="C16" s="33" t="s">
        <v>107</v>
      </c>
      <c r="D16" s="33">
        <v>1272</v>
      </c>
      <c r="E16" s="33" t="s">
        <v>27</v>
      </c>
      <c r="F16" s="33" t="s">
        <v>13</v>
      </c>
      <c r="G16" s="33" t="s">
        <v>104</v>
      </c>
      <c r="H16" s="33">
        <v>2</v>
      </c>
      <c r="I16" s="33">
        <v>1</v>
      </c>
      <c r="J16" s="33" t="s">
        <v>94</v>
      </c>
      <c r="K16" s="33">
        <v>2</v>
      </c>
      <c r="L16" s="33">
        <v>2</v>
      </c>
    </row>
    <row r="17" spans="1:12">
      <c r="A17" s="33">
        <v>11</v>
      </c>
      <c r="B17" s="33">
        <v>12</v>
      </c>
      <c r="C17" s="33" t="s">
        <v>107</v>
      </c>
      <c r="D17" s="33">
        <v>127</v>
      </c>
      <c r="E17" s="33" t="s">
        <v>26</v>
      </c>
      <c r="F17" s="33" t="s">
        <v>105</v>
      </c>
      <c r="G17" s="33" t="s">
        <v>104</v>
      </c>
      <c r="H17" s="33">
        <v>997</v>
      </c>
      <c r="I17" s="33">
        <v>2</v>
      </c>
      <c r="J17" s="33" t="s">
        <v>94</v>
      </c>
      <c r="K17" s="33">
        <v>1</v>
      </c>
      <c r="L17" s="33">
        <v>1</v>
      </c>
    </row>
    <row r="18" spans="1:12">
      <c r="A18" s="33">
        <v>12</v>
      </c>
      <c r="B18" s="33">
        <v>12</v>
      </c>
      <c r="C18" s="33" t="s">
        <v>107</v>
      </c>
      <c r="D18" s="33">
        <v>1263</v>
      </c>
      <c r="E18" s="33" t="s">
        <v>25</v>
      </c>
      <c r="F18" s="33" t="s">
        <v>14</v>
      </c>
      <c r="G18" s="33" t="s">
        <v>104</v>
      </c>
      <c r="H18" s="33">
        <v>2</v>
      </c>
      <c r="I18" s="33">
        <v>994</v>
      </c>
      <c r="J18" s="33" t="s">
        <v>94</v>
      </c>
      <c r="K18" s="33">
        <v>1</v>
      </c>
      <c r="L18" s="33">
        <v>1</v>
      </c>
    </row>
    <row r="19" spans="1:12">
      <c r="A19" s="33">
        <v>13</v>
      </c>
      <c r="B19" s="33">
        <v>12</v>
      </c>
      <c r="C19" s="33" t="s">
        <v>107</v>
      </c>
      <c r="D19" s="33">
        <v>127</v>
      </c>
      <c r="E19" s="33" t="s">
        <v>26</v>
      </c>
      <c r="F19" s="33" t="s">
        <v>13</v>
      </c>
      <c r="G19" s="33" t="s">
        <v>104</v>
      </c>
      <c r="H19" s="33">
        <v>2</v>
      </c>
      <c r="I19" s="33">
        <v>994</v>
      </c>
      <c r="J19" s="33" t="s">
        <v>94</v>
      </c>
      <c r="K19" s="33">
        <v>2</v>
      </c>
      <c r="L19" s="33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topLeftCell="I1" zoomScale="102" workbookViewId="0">
      <selection activeCell="L6" sqref="L6:L14"/>
    </sheetView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8" width="18.21875" customWidth="1"/>
    <col min="9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108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103</v>
      </c>
    </row>
    <row r="6" spans="1:12">
      <c r="A6" s="33">
        <v>0</v>
      </c>
      <c r="B6" s="33">
        <v>11</v>
      </c>
      <c r="C6" s="33" t="s">
        <v>23</v>
      </c>
      <c r="D6" s="33">
        <v>997</v>
      </c>
      <c r="E6" s="33" t="s">
        <v>94</v>
      </c>
      <c r="F6" s="33" t="s">
        <v>13</v>
      </c>
      <c r="G6" s="33" t="s">
        <v>104</v>
      </c>
      <c r="H6" s="33">
        <v>2</v>
      </c>
      <c r="I6" s="33">
        <v>1</v>
      </c>
      <c r="J6" s="33" t="s">
        <v>94</v>
      </c>
      <c r="K6" s="33">
        <v>159</v>
      </c>
      <c r="L6" s="33">
        <v>159</v>
      </c>
    </row>
    <row r="7" spans="1:12">
      <c r="A7" s="33">
        <v>1</v>
      </c>
      <c r="B7" s="33">
        <v>11</v>
      </c>
      <c r="C7" s="33" t="s">
        <v>23</v>
      </c>
      <c r="D7" s="33">
        <v>997</v>
      </c>
      <c r="E7" s="33" t="s">
        <v>94</v>
      </c>
      <c r="F7" s="33" t="s">
        <v>14</v>
      </c>
      <c r="G7" s="33" t="s">
        <v>104</v>
      </c>
      <c r="H7" s="33">
        <v>2</v>
      </c>
      <c r="I7" s="33">
        <v>2</v>
      </c>
      <c r="J7" s="33" t="s">
        <v>94</v>
      </c>
      <c r="K7" s="33">
        <v>2</v>
      </c>
      <c r="L7" s="33">
        <v>2</v>
      </c>
    </row>
    <row r="8" spans="1:12">
      <c r="A8" s="33">
        <v>2</v>
      </c>
      <c r="B8" s="33">
        <v>11</v>
      </c>
      <c r="C8" s="33" t="s">
        <v>23</v>
      </c>
      <c r="D8" s="33">
        <v>997</v>
      </c>
      <c r="E8" s="33" t="s">
        <v>94</v>
      </c>
      <c r="F8" s="33" t="s">
        <v>14</v>
      </c>
      <c r="G8" s="33" t="s">
        <v>104</v>
      </c>
      <c r="H8" s="33">
        <v>2</v>
      </c>
      <c r="I8" s="33">
        <v>994</v>
      </c>
      <c r="J8" s="33" t="s">
        <v>94</v>
      </c>
      <c r="K8" s="33">
        <v>10</v>
      </c>
      <c r="L8" s="33">
        <v>10</v>
      </c>
    </row>
    <row r="9" spans="1:12">
      <c r="A9" s="33">
        <v>3</v>
      </c>
      <c r="B9" s="33">
        <v>11</v>
      </c>
      <c r="C9" s="33" t="s">
        <v>23</v>
      </c>
      <c r="D9" s="33">
        <v>997</v>
      </c>
      <c r="E9" s="33" t="s">
        <v>94</v>
      </c>
      <c r="F9" s="33" t="s">
        <v>13</v>
      </c>
      <c r="G9" s="33" t="s">
        <v>104</v>
      </c>
      <c r="H9" s="33">
        <v>2</v>
      </c>
      <c r="I9" s="33">
        <v>994</v>
      </c>
      <c r="J9" s="33" t="s">
        <v>94</v>
      </c>
      <c r="K9" s="33">
        <v>123</v>
      </c>
      <c r="L9" s="33">
        <v>123</v>
      </c>
    </row>
    <row r="10" spans="1:12">
      <c r="A10" s="33">
        <v>4</v>
      </c>
      <c r="B10" s="33">
        <v>12</v>
      </c>
      <c r="C10" s="33" t="s">
        <v>107</v>
      </c>
      <c r="D10" s="33">
        <v>1221</v>
      </c>
      <c r="E10" s="33" t="s">
        <v>24</v>
      </c>
      <c r="F10" s="33" t="s">
        <v>13</v>
      </c>
      <c r="G10" s="33" t="s">
        <v>104</v>
      </c>
      <c r="H10" s="33">
        <v>2</v>
      </c>
      <c r="I10" s="33">
        <v>1</v>
      </c>
      <c r="J10" s="33" t="s">
        <v>94</v>
      </c>
      <c r="K10" s="33">
        <v>1</v>
      </c>
      <c r="L10" s="33">
        <v>1</v>
      </c>
    </row>
    <row r="11" spans="1:12">
      <c r="A11" s="33">
        <v>5</v>
      </c>
      <c r="B11" s="33">
        <v>12</v>
      </c>
      <c r="C11" s="33" t="s">
        <v>107</v>
      </c>
      <c r="D11" s="33">
        <v>127</v>
      </c>
      <c r="E11" s="33" t="s">
        <v>26</v>
      </c>
      <c r="F11" s="33" t="s">
        <v>13</v>
      </c>
      <c r="G11" s="33" t="s">
        <v>104</v>
      </c>
      <c r="H11" s="33">
        <v>2</v>
      </c>
      <c r="I11" s="33">
        <v>1</v>
      </c>
      <c r="J11" s="33" t="s">
        <v>94</v>
      </c>
      <c r="K11" s="33">
        <v>35</v>
      </c>
      <c r="L11" s="33">
        <v>35</v>
      </c>
    </row>
    <row r="12" spans="1:12">
      <c r="A12" s="33">
        <v>6</v>
      </c>
      <c r="B12" s="33">
        <v>12</v>
      </c>
      <c r="C12" s="33" t="s">
        <v>107</v>
      </c>
      <c r="D12" s="33">
        <v>1272</v>
      </c>
      <c r="E12" s="33" t="s">
        <v>27</v>
      </c>
      <c r="F12" s="33" t="s">
        <v>13</v>
      </c>
      <c r="G12" s="33" t="s">
        <v>104</v>
      </c>
      <c r="H12" s="33">
        <v>2</v>
      </c>
      <c r="I12" s="33">
        <v>1</v>
      </c>
      <c r="J12" s="33" t="s">
        <v>94</v>
      </c>
      <c r="K12" s="33">
        <v>2</v>
      </c>
      <c r="L12" s="33">
        <v>2</v>
      </c>
    </row>
    <row r="13" spans="1:12">
      <c r="A13" s="33">
        <v>7</v>
      </c>
      <c r="B13" s="33">
        <v>12</v>
      </c>
      <c r="C13" s="33" t="s">
        <v>107</v>
      </c>
      <c r="D13" s="33">
        <v>1263</v>
      </c>
      <c r="E13" s="33" t="s">
        <v>25</v>
      </c>
      <c r="F13" s="33" t="s">
        <v>14</v>
      </c>
      <c r="G13" s="33" t="s">
        <v>104</v>
      </c>
      <c r="H13" s="33">
        <v>2</v>
      </c>
      <c r="I13" s="33">
        <v>994</v>
      </c>
      <c r="J13" s="33" t="s">
        <v>94</v>
      </c>
      <c r="K13" s="33">
        <v>1</v>
      </c>
      <c r="L13" s="33">
        <v>1</v>
      </c>
    </row>
    <row r="14" spans="1:12">
      <c r="A14" s="33">
        <v>8</v>
      </c>
      <c r="B14" s="33">
        <v>12</v>
      </c>
      <c r="C14" s="33" t="s">
        <v>107</v>
      </c>
      <c r="D14" s="33">
        <v>127</v>
      </c>
      <c r="E14" s="33" t="s">
        <v>26</v>
      </c>
      <c r="F14" s="33" t="s">
        <v>13</v>
      </c>
      <c r="G14" s="33" t="s">
        <v>104</v>
      </c>
      <c r="H14" s="33">
        <v>2</v>
      </c>
      <c r="I14" s="33">
        <v>994</v>
      </c>
      <c r="J14" s="33" t="s">
        <v>94</v>
      </c>
      <c r="K14" s="33">
        <v>2</v>
      </c>
      <c r="L14" s="33">
        <v>2</v>
      </c>
    </row>
  </sheetData>
  <pageMargins left="0.75" right="0.75" top="1" bottom="1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topLeftCell="F1" workbookViewId="0"/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109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91</v>
      </c>
    </row>
    <row r="6" spans="1:12">
      <c r="A6" s="33">
        <v>0</v>
      </c>
      <c r="B6" s="33">
        <v>213</v>
      </c>
      <c r="C6" s="33" t="s">
        <v>110</v>
      </c>
      <c r="D6" s="33">
        <v>21312</v>
      </c>
      <c r="E6" s="33" t="s">
        <v>29</v>
      </c>
      <c r="F6" s="33" t="s">
        <v>13</v>
      </c>
      <c r="G6" s="33" t="s">
        <v>94</v>
      </c>
      <c r="H6" s="33">
        <v>2</v>
      </c>
      <c r="I6" s="33">
        <v>1</v>
      </c>
      <c r="J6" s="33" t="s">
        <v>94</v>
      </c>
      <c r="K6" s="33">
        <v>2</v>
      </c>
      <c r="L6" s="33">
        <v>9.6635845000000008E-3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"/>
  <sheetViews>
    <sheetView workbookViewId="0"/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111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91</v>
      </c>
    </row>
    <row r="6" spans="1:12">
      <c r="A6" s="33">
        <v>0</v>
      </c>
      <c r="B6" s="33">
        <v>213</v>
      </c>
      <c r="C6" s="33" t="s">
        <v>110</v>
      </c>
      <c r="D6" s="33">
        <v>21312</v>
      </c>
      <c r="E6" s="33" t="s">
        <v>29</v>
      </c>
      <c r="F6" s="33" t="s">
        <v>13</v>
      </c>
      <c r="G6" s="33" t="s">
        <v>94</v>
      </c>
      <c r="H6" s="33">
        <v>2</v>
      </c>
      <c r="I6" s="33">
        <v>1</v>
      </c>
      <c r="J6" s="33" t="s">
        <v>94</v>
      </c>
      <c r="K6" s="33">
        <v>2</v>
      </c>
      <c r="L6" s="33">
        <v>9.6635845000000008E-3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3"/>
  <sheetViews>
    <sheetView workbookViewId="0"/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112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113</v>
      </c>
    </row>
    <row r="6" spans="1:12">
      <c r="A6" s="33">
        <v>0</v>
      </c>
      <c r="B6" s="33">
        <v>211</v>
      </c>
      <c r="C6" s="33" t="s">
        <v>114</v>
      </c>
      <c r="D6" s="33">
        <v>21120</v>
      </c>
      <c r="E6" s="33" t="s">
        <v>30</v>
      </c>
      <c r="F6" s="33" t="s">
        <v>13</v>
      </c>
      <c r="G6" s="33" t="s">
        <v>94</v>
      </c>
      <c r="H6" s="33">
        <v>2</v>
      </c>
      <c r="I6" s="33">
        <v>1</v>
      </c>
      <c r="J6" s="33" t="s">
        <v>94</v>
      </c>
      <c r="K6" s="33">
        <v>6</v>
      </c>
      <c r="L6" s="33">
        <v>4.7300400900000001</v>
      </c>
    </row>
    <row r="7" spans="1:12">
      <c r="A7" s="33">
        <v>1</v>
      </c>
      <c r="B7" s="33">
        <v>211</v>
      </c>
      <c r="C7" s="33" t="s">
        <v>114</v>
      </c>
      <c r="D7" s="33">
        <v>21120</v>
      </c>
      <c r="E7" s="33" t="s">
        <v>30</v>
      </c>
      <c r="F7" s="33" t="s">
        <v>106</v>
      </c>
      <c r="G7" s="33" t="s">
        <v>94</v>
      </c>
      <c r="H7" s="33">
        <v>2</v>
      </c>
      <c r="I7" s="33">
        <v>1</v>
      </c>
      <c r="J7" s="33" t="s">
        <v>94</v>
      </c>
      <c r="K7" s="33">
        <v>1</v>
      </c>
      <c r="L7" s="33">
        <v>0.71657790529999998</v>
      </c>
    </row>
    <row r="8" spans="1:12">
      <c r="A8" s="33">
        <v>2</v>
      </c>
      <c r="B8" s="33">
        <v>211</v>
      </c>
      <c r="C8" s="33" t="s">
        <v>114</v>
      </c>
      <c r="D8" s="33">
        <v>21122</v>
      </c>
      <c r="E8" s="33" t="s">
        <v>32</v>
      </c>
      <c r="F8" s="33" t="s">
        <v>13</v>
      </c>
      <c r="G8" s="33" t="s">
        <v>94</v>
      </c>
      <c r="H8" s="33">
        <v>2</v>
      </c>
      <c r="I8" s="33">
        <v>1</v>
      </c>
      <c r="J8" s="33" t="s">
        <v>94</v>
      </c>
      <c r="K8" s="33">
        <v>3</v>
      </c>
      <c r="L8" s="33">
        <v>0.41461814470000002</v>
      </c>
    </row>
    <row r="9" spans="1:12">
      <c r="A9" s="33">
        <v>3</v>
      </c>
      <c r="B9" s="33">
        <v>211</v>
      </c>
      <c r="C9" s="33" t="s">
        <v>114</v>
      </c>
      <c r="D9" s="33">
        <v>21122</v>
      </c>
      <c r="E9" s="33" t="s">
        <v>32</v>
      </c>
      <c r="F9" s="33" t="s">
        <v>105</v>
      </c>
      <c r="G9" s="33" t="s">
        <v>94</v>
      </c>
      <c r="H9" s="33">
        <v>2</v>
      </c>
      <c r="I9" s="33">
        <v>1</v>
      </c>
      <c r="J9" s="33" t="s">
        <v>94</v>
      </c>
      <c r="K9" s="33">
        <v>4</v>
      </c>
      <c r="L9" s="33">
        <v>2.1909422284</v>
      </c>
    </row>
    <row r="10" spans="1:12">
      <c r="A10" s="33">
        <v>4</v>
      </c>
      <c r="B10" s="33">
        <v>211</v>
      </c>
      <c r="C10" s="33" t="s">
        <v>114</v>
      </c>
      <c r="D10" s="33">
        <v>21122</v>
      </c>
      <c r="E10" s="33" t="s">
        <v>32</v>
      </c>
      <c r="F10" s="33" t="s">
        <v>106</v>
      </c>
      <c r="G10" s="33" t="s">
        <v>94</v>
      </c>
      <c r="H10" s="33">
        <v>2</v>
      </c>
      <c r="I10" s="33">
        <v>1</v>
      </c>
      <c r="J10" s="33" t="s">
        <v>94</v>
      </c>
      <c r="K10" s="33">
        <v>3</v>
      </c>
      <c r="L10" s="33">
        <v>0.64683415339999994</v>
      </c>
    </row>
    <row r="11" spans="1:12">
      <c r="A11" s="33">
        <v>5</v>
      </c>
      <c r="B11" s="33">
        <v>211</v>
      </c>
      <c r="C11" s="33" t="s">
        <v>114</v>
      </c>
      <c r="D11" s="33">
        <v>21124</v>
      </c>
      <c r="E11" s="33" t="s">
        <v>33</v>
      </c>
      <c r="F11" s="33" t="s">
        <v>13</v>
      </c>
      <c r="G11" s="33" t="s">
        <v>94</v>
      </c>
      <c r="H11" s="33">
        <v>2</v>
      </c>
      <c r="I11" s="33">
        <v>1</v>
      </c>
      <c r="J11" s="33" t="s">
        <v>94</v>
      </c>
      <c r="K11" s="33">
        <v>5</v>
      </c>
      <c r="L11" s="33">
        <v>1.0035421529999999</v>
      </c>
    </row>
    <row r="12" spans="1:12">
      <c r="A12" s="33">
        <v>6</v>
      </c>
      <c r="B12" s="33">
        <v>211</v>
      </c>
      <c r="C12" s="33" t="s">
        <v>114</v>
      </c>
      <c r="D12" s="33">
        <v>21124</v>
      </c>
      <c r="E12" s="33" t="s">
        <v>33</v>
      </c>
      <c r="F12" s="33" t="s">
        <v>105</v>
      </c>
      <c r="G12" s="33" t="s">
        <v>94</v>
      </c>
      <c r="H12" s="33">
        <v>2</v>
      </c>
      <c r="I12" s="33">
        <v>1</v>
      </c>
      <c r="J12" s="33" t="s">
        <v>94</v>
      </c>
      <c r="K12" s="33">
        <v>4</v>
      </c>
      <c r="L12" s="33">
        <v>1.6812667891999999</v>
      </c>
    </row>
    <row r="13" spans="1:12">
      <c r="A13" s="33">
        <v>7</v>
      </c>
      <c r="B13" s="33">
        <v>211</v>
      </c>
      <c r="C13" s="33" t="s">
        <v>114</v>
      </c>
      <c r="D13" s="33">
        <v>21124</v>
      </c>
      <c r="E13" s="33" t="s">
        <v>33</v>
      </c>
      <c r="F13" s="33" t="s">
        <v>106</v>
      </c>
      <c r="G13" s="33" t="s">
        <v>94</v>
      </c>
      <c r="H13" s="33">
        <v>2</v>
      </c>
      <c r="I13" s="33">
        <v>1</v>
      </c>
      <c r="J13" s="33" t="s">
        <v>94</v>
      </c>
      <c r="K13" s="33">
        <v>2</v>
      </c>
      <c r="L13" s="33">
        <v>0.12265320289999999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"/>
  <sheetViews>
    <sheetView workbookViewId="0"/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115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113</v>
      </c>
    </row>
    <row r="6" spans="1:12">
      <c r="A6" s="33">
        <v>0</v>
      </c>
      <c r="B6" s="33">
        <v>211</v>
      </c>
      <c r="C6" s="33" t="s">
        <v>114</v>
      </c>
      <c r="D6" s="33">
        <v>21120</v>
      </c>
      <c r="E6" s="33" t="s">
        <v>30</v>
      </c>
      <c r="F6" s="33" t="s">
        <v>13</v>
      </c>
      <c r="G6" s="33" t="s">
        <v>94</v>
      </c>
      <c r="H6" s="33">
        <v>2</v>
      </c>
      <c r="I6" s="33">
        <v>1</v>
      </c>
      <c r="J6" s="33" t="s">
        <v>94</v>
      </c>
      <c r="K6" s="33">
        <v>6</v>
      </c>
      <c r="L6" s="33">
        <v>4.7300400900000001</v>
      </c>
    </row>
    <row r="7" spans="1:12">
      <c r="A7" s="33">
        <v>1</v>
      </c>
      <c r="B7" s="33">
        <v>211</v>
      </c>
      <c r="C7" s="33" t="s">
        <v>114</v>
      </c>
      <c r="D7" s="33">
        <v>21122</v>
      </c>
      <c r="E7" s="33" t="s">
        <v>32</v>
      </c>
      <c r="F7" s="33" t="s">
        <v>13</v>
      </c>
      <c r="G7" s="33" t="s">
        <v>94</v>
      </c>
      <c r="H7" s="33">
        <v>2</v>
      </c>
      <c r="I7" s="33">
        <v>1</v>
      </c>
      <c r="J7" s="33" t="s">
        <v>94</v>
      </c>
      <c r="K7" s="33">
        <v>3</v>
      </c>
      <c r="L7" s="33">
        <v>0.41461814470000002</v>
      </c>
    </row>
    <row r="8" spans="1:12">
      <c r="A8" s="33">
        <v>2</v>
      </c>
      <c r="B8" s="33">
        <v>211</v>
      </c>
      <c r="C8" s="33" t="s">
        <v>114</v>
      </c>
      <c r="D8" s="33">
        <v>21122</v>
      </c>
      <c r="E8" s="33" t="s">
        <v>32</v>
      </c>
      <c r="F8" s="33" t="s">
        <v>105</v>
      </c>
      <c r="G8" s="33" t="s">
        <v>94</v>
      </c>
      <c r="H8" s="33">
        <v>2</v>
      </c>
      <c r="I8" s="33">
        <v>1</v>
      </c>
      <c r="J8" s="33" t="s">
        <v>94</v>
      </c>
      <c r="K8" s="33">
        <v>1</v>
      </c>
      <c r="L8" s="33">
        <v>9.8713153200000001E-2</v>
      </c>
    </row>
    <row r="9" spans="1:12">
      <c r="A9" s="33">
        <v>3</v>
      </c>
      <c r="B9" s="33">
        <v>211</v>
      </c>
      <c r="C9" s="33" t="s">
        <v>114</v>
      </c>
      <c r="D9" s="33">
        <v>21124</v>
      </c>
      <c r="E9" s="33" t="s">
        <v>33</v>
      </c>
      <c r="F9" s="33" t="s">
        <v>13</v>
      </c>
      <c r="G9" s="33" t="s">
        <v>94</v>
      </c>
      <c r="H9" s="33">
        <v>2</v>
      </c>
      <c r="I9" s="33">
        <v>1</v>
      </c>
      <c r="J9" s="33" t="s">
        <v>94</v>
      </c>
      <c r="K9" s="33">
        <v>5</v>
      </c>
      <c r="L9" s="33">
        <v>1.0035421529999999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"/>
  <sheetViews>
    <sheetView workbookViewId="0"/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116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103</v>
      </c>
    </row>
    <row r="6" spans="1:12">
      <c r="A6" s="33">
        <v>0</v>
      </c>
      <c r="B6" s="33">
        <v>214</v>
      </c>
      <c r="C6" s="33" t="s">
        <v>117</v>
      </c>
      <c r="D6" s="33">
        <v>2141</v>
      </c>
      <c r="E6" s="33" t="s">
        <v>34</v>
      </c>
      <c r="F6" s="33" t="s">
        <v>13</v>
      </c>
      <c r="G6" s="33" t="s">
        <v>94</v>
      </c>
      <c r="H6" s="33">
        <v>2</v>
      </c>
      <c r="I6" s="33">
        <v>1</v>
      </c>
      <c r="J6" s="33" t="s">
        <v>94</v>
      </c>
      <c r="K6" s="33">
        <v>5</v>
      </c>
      <c r="L6" s="33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"/>
  <sheetViews>
    <sheetView workbookViewId="0"/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118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103</v>
      </c>
    </row>
    <row r="6" spans="1:12">
      <c r="A6" s="33">
        <v>0</v>
      </c>
      <c r="B6" s="33">
        <v>214</v>
      </c>
      <c r="C6" s="33" t="s">
        <v>117</v>
      </c>
      <c r="D6" s="33">
        <v>2141</v>
      </c>
      <c r="E6" s="33" t="s">
        <v>34</v>
      </c>
      <c r="F6" s="33" t="s">
        <v>13</v>
      </c>
      <c r="G6" s="33" t="s">
        <v>94</v>
      </c>
      <c r="H6" s="33">
        <v>2</v>
      </c>
      <c r="I6" s="33">
        <v>1</v>
      </c>
      <c r="J6" s="33" t="s">
        <v>94</v>
      </c>
      <c r="K6" s="33">
        <v>5</v>
      </c>
      <c r="L6" s="33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6"/>
  <sheetViews>
    <sheetView workbookViewId="0"/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119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91</v>
      </c>
    </row>
    <row r="6" spans="1:12">
      <c r="A6" s="33">
        <v>0</v>
      </c>
      <c r="B6" s="33">
        <v>23</v>
      </c>
      <c r="C6" s="33" t="s">
        <v>120</v>
      </c>
      <c r="D6" s="33">
        <v>2302</v>
      </c>
      <c r="E6" s="33" t="s">
        <v>36</v>
      </c>
      <c r="F6" s="33" t="s">
        <v>13</v>
      </c>
      <c r="G6" s="33" t="s">
        <v>94</v>
      </c>
      <c r="H6" s="33">
        <v>2</v>
      </c>
      <c r="I6" s="33">
        <v>1</v>
      </c>
      <c r="J6" s="33" t="s">
        <v>94</v>
      </c>
      <c r="K6" s="33">
        <v>1</v>
      </c>
      <c r="L6" s="33">
        <v>0.76353273700000002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"/>
  <sheetViews>
    <sheetView workbookViewId="0"/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121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91</v>
      </c>
    </row>
    <row r="6" spans="1:12">
      <c r="A6" s="33">
        <v>0</v>
      </c>
      <c r="B6" s="33">
        <v>23</v>
      </c>
      <c r="C6" s="33" t="s">
        <v>120</v>
      </c>
      <c r="D6" s="33">
        <v>2302</v>
      </c>
      <c r="E6" s="33" t="s">
        <v>36</v>
      </c>
      <c r="F6" s="33" t="s">
        <v>13</v>
      </c>
      <c r="G6" s="33" t="s">
        <v>94</v>
      </c>
      <c r="H6" s="33">
        <v>2</v>
      </c>
      <c r="I6" s="33">
        <v>1</v>
      </c>
      <c r="J6" s="33" t="s">
        <v>94</v>
      </c>
      <c r="K6" s="33">
        <v>1</v>
      </c>
      <c r="L6" s="33">
        <v>0.76353273700000002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"/>
  <sheetViews>
    <sheetView workbookViewId="0"/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122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91</v>
      </c>
    </row>
    <row r="6" spans="1:12">
      <c r="A6" s="33">
        <v>0</v>
      </c>
      <c r="B6" s="33">
        <v>2</v>
      </c>
      <c r="C6" s="33" t="s">
        <v>123</v>
      </c>
      <c r="D6" s="33">
        <v>24</v>
      </c>
      <c r="E6" s="33" t="s">
        <v>124</v>
      </c>
      <c r="F6" s="33" t="s">
        <v>125</v>
      </c>
      <c r="G6" s="33" t="s">
        <v>94</v>
      </c>
      <c r="H6" s="33">
        <v>997</v>
      </c>
      <c r="I6" s="33">
        <v>982</v>
      </c>
      <c r="J6" s="33" t="s">
        <v>94</v>
      </c>
      <c r="K6" s="33">
        <v>4</v>
      </c>
      <c r="L6" s="33">
        <v>5.0941431740000001</v>
      </c>
    </row>
    <row r="7" spans="1:12">
      <c r="A7" s="33">
        <v>1</v>
      </c>
      <c r="B7" s="33">
        <v>3</v>
      </c>
      <c r="C7" s="33" t="s">
        <v>126</v>
      </c>
      <c r="D7" s="33">
        <v>31</v>
      </c>
      <c r="E7" s="33" t="s">
        <v>127</v>
      </c>
      <c r="F7" s="33" t="s">
        <v>125</v>
      </c>
      <c r="G7" s="33" t="s">
        <v>94</v>
      </c>
      <c r="H7" s="33">
        <v>997</v>
      </c>
      <c r="I7" s="33">
        <v>982</v>
      </c>
      <c r="J7" s="33" t="s">
        <v>94</v>
      </c>
      <c r="K7" s="33">
        <v>43</v>
      </c>
      <c r="L7" s="33">
        <v>228.81165214999999</v>
      </c>
    </row>
    <row r="8" spans="1:12">
      <c r="A8" s="33">
        <v>2</v>
      </c>
      <c r="B8" s="33">
        <v>3</v>
      </c>
      <c r="C8" s="33" t="s">
        <v>126</v>
      </c>
      <c r="D8" s="33">
        <v>32</v>
      </c>
      <c r="E8" s="33" t="s">
        <v>39</v>
      </c>
      <c r="F8" s="33" t="s">
        <v>125</v>
      </c>
      <c r="G8" s="33" t="s">
        <v>94</v>
      </c>
      <c r="H8" s="33">
        <v>997</v>
      </c>
      <c r="I8" s="33">
        <v>982</v>
      </c>
      <c r="J8" s="33" t="s">
        <v>94</v>
      </c>
      <c r="K8" s="33">
        <v>25</v>
      </c>
      <c r="L8" s="33">
        <v>93.0794528168</v>
      </c>
    </row>
    <row r="9" spans="1:12">
      <c r="A9" s="33">
        <v>3</v>
      </c>
      <c r="B9" s="33">
        <v>4</v>
      </c>
      <c r="C9" s="33" t="s">
        <v>128</v>
      </c>
      <c r="D9" s="33">
        <v>41</v>
      </c>
      <c r="E9" s="33" t="s">
        <v>129</v>
      </c>
      <c r="F9" s="33" t="s">
        <v>125</v>
      </c>
      <c r="G9" s="33" t="s">
        <v>94</v>
      </c>
      <c r="H9" s="33">
        <v>997</v>
      </c>
      <c r="I9" s="33">
        <v>982</v>
      </c>
      <c r="J9" s="33" t="s">
        <v>94</v>
      </c>
      <c r="K9" s="33">
        <v>5</v>
      </c>
      <c r="L9" s="33">
        <v>14.5613230625</v>
      </c>
    </row>
    <row r="10" spans="1:12">
      <c r="A10" s="33">
        <v>4</v>
      </c>
      <c r="B10" s="33">
        <v>998</v>
      </c>
      <c r="C10" s="33" t="s">
        <v>41</v>
      </c>
      <c r="D10" s="33">
        <v>998</v>
      </c>
      <c r="E10" s="33" t="s">
        <v>41</v>
      </c>
      <c r="F10" s="33" t="s">
        <v>125</v>
      </c>
      <c r="G10" s="33" t="s">
        <v>94</v>
      </c>
      <c r="H10" s="33">
        <v>997</v>
      </c>
      <c r="I10" s="33">
        <v>982</v>
      </c>
      <c r="J10" s="33" t="s">
        <v>94</v>
      </c>
      <c r="K10" s="33">
        <v>3</v>
      </c>
      <c r="L10" s="33">
        <v>4.2848303165999999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topLeftCell="G1" workbookViewId="0"/>
  </sheetViews>
  <sheetFormatPr defaultRowHeight="14.4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42" t="s">
        <v>5</v>
      </c>
    </row>
    <row r="2" spans="1:12">
      <c r="A2" s="42" t="s">
        <v>130</v>
      </c>
    </row>
    <row r="4" spans="1:12">
      <c r="A4" s="32" t="s">
        <v>84</v>
      </c>
      <c r="B4" s="32" t="s">
        <v>96</v>
      </c>
      <c r="C4" s="32" t="s">
        <v>97</v>
      </c>
      <c r="D4" s="32" t="s">
        <v>98</v>
      </c>
      <c r="E4" s="32" t="s">
        <v>99</v>
      </c>
      <c r="F4" s="32" t="s">
        <v>100</v>
      </c>
      <c r="G4" s="32" t="s">
        <v>88</v>
      </c>
      <c r="H4" s="32" t="s">
        <v>89</v>
      </c>
      <c r="I4" s="32" t="s">
        <v>101</v>
      </c>
      <c r="J4" s="32" t="s">
        <v>102</v>
      </c>
      <c r="K4" s="32" t="s">
        <v>90</v>
      </c>
      <c r="L4" s="32" t="s">
        <v>91</v>
      </c>
    </row>
    <row r="6" spans="1:12">
      <c r="A6" s="33">
        <v>0</v>
      </c>
      <c r="B6" s="33">
        <v>2</v>
      </c>
      <c r="C6" s="33" t="s">
        <v>123</v>
      </c>
      <c r="D6" s="33">
        <v>24</v>
      </c>
      <c r="E6" s="33" t="s">
        <v>124</v>
      </c>
      <c r="F6" s="33" t="s">
        <v>125</v>
      </c>
      <c r="G6" s="33" t="s">
        <v>94</v>
      </c>
      <c r="H6" s="33">
        <v>997</v>
      </c>
      <c r="I6" s="33">
        <v>982</v>
      </c>
      <c r="J6" s="33" t="s">
        <v>94</v>
      </c>
      <c r="K6" s="33">
        <v>1</v>
      </c>
      <c r="L6" s="33">
        <v>2.1424308189999999</v>
      </c>
    </row>
    <row r="7" spans="1:12">
      <c r="A7" s="33">
        <v>1</v>
      </c>
      <c r="B7" s="33">
        <v>3</v>
      </c>
      <c r="C7" s="33" t="s">
        <v>126</v>
      </c>
      <c r="D7" s="33">
        <v>31</v>
      </c>
      <c r="E7" s="33" t="s">
        <v>127</v>
      </c>
      <c r="F7" s="33" t="s">
        <v>125</v>
      </c>
      <c r="G7" s="33" t="s">
        <v>94</v>
      </c>
      <c r="H7" s="33">
        <v>997</v>
      </c>
      <c r="I7" s="33">
        <v>982</v>
      </c>
      <c r="J7" s="33" t="s">
        <v>94</v>
      </c>
      <c r="K7" s="33">
        <v>38</v>
      </c>
      <c r="L7" s="33">
        <v>61.621214702099998</v>
      </c>
    </row>
    <row r="8" spans="1:12">
      <c r="A8" s="33">
        <v>2</v>
      </c>
      <c r="B8" s="33">
        <v>3</v>
      </c>
      <c r="C8" s="33" t="s">
        <v>126</v>
      </c>
      <c r="D8" s="33">
        <v>32</v>
      </c>
      <c r="E8" s="33" t="s">
        <v>39</v>
      </c>
      <c r="F8" s="33" t="s">
        <v>125</v>
      </c>
      <c r="G8" s="33" t="s">
        <v>94</v>
      </c>
      <c r="H8" s="33">
        <v>997</v>
      </c>
      <c r="I8" s="33">
        <v>982</v>
      </c>
      <c r="J8" s="33" t="s">
        <v>94</v>
      </c>
      <c r="K8" s="33">
        <v>19</v>
      </c>
      <c r="L8" s="33">
        <v>31.840531776100001</v>
      </c>
    </row>
    <row r="9" spans="1:12">
      <c r="A9" s="33">
        <v>3</v>
      </c>
      <c r="B9" s="33">
        <v>4</v>
      </c>
      <c r="C9" s="33" t="s">
        <v>128</v>
      </c>
      <c r="D9" s="33">
        <v>41</v>
      </c>
      <c r="E9" s="33" t="s">
        <v>129</v>
      </c>
      <c r="F9" s="33" t="s">
        <v>125</v>
      </c>
      <c r="G9" s="33" t="s">
        <v>94</v>
      </c>
      <c r="H9" s="33">
        <v>997</v>
      </c>
      <c r="I9" s="33">
        <v>982</v>
      </c>
      <c r="J9" s="33" t="s">
        <v>94</v>
      </c>
      <c r="K9" s="33">
        <v>5</v>
      </c>
      <c r="L9" s="33">
        <v>12.1166119315</v>
      </c>
    </row>
    <row r="10" spans="1:12">
      <c r="A10" s="33">
        <v>4</v>
      </c>
      <c r="B10" s="33">
        <v>998</v>
      </c>
      <c r="C10" s="33" t="s">
        <v>41</v>
      </c>
      <c r="D10" s="33">
        <v>998</v>
      </c>
      <c r="E10" s="33" t="s">
        <v>41</v>
      </c>
      <c r="F10" s="33" t="s">
        <v>125</v>
      </c>
      <c r="G10" s="33" t="s">
        <v>94</v>
      </c>
      <c r="H10" s="33">
        <v>997</v>
      </c>
      <c r="I10" s="33">
        <v>982</v>
      </c>
      <c r="J10" s="33" t="s">
        <v>94</v>
      </c>
      <c r="K10" s="33">
        <v>3</v>
      </c>
      <c r="L10" s="33">
        <v>3.3730878612000001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README</vt:lpstr>
      <vt:lpstr>Dashboard</vt:lpstr>
      <vt:lpstr>building_damage</vt:lpstr>
      <vt:lpstr>building_aoi</vt:lpstr>
      <vt:lpstr>transportation_impact</vt:lpstr>
      <vt:lpstr>landuse_impact</vt:lpstr>
      <vt:lpstr>project_summary</vt:lpstr>
      <vt:lpstr>facilities_impact</vt:lpstr>
      <vt:lpstr>Info_Grading</vt:lpstr>
      <vt:lpstr>Grading</vt:lpstr>
      <vt:lpstr>Pop_Statistics</vt:lpstr>
      <vt:lpstr>_observedEventA_v1_aoi</vt:lpstr>
      <vt:lpstr>_builtUpP_m_v1_aoi</vt:lpstr>
      <vt:lpstr>_builtUpP_m_v1_aff</vt:lpstr>
      <vt:lpstr>_transportationA_m_v1_aoi</vt:lpstr>
      <vt:lpstr>_transportationA_m_v1_aff</vt:lpstr>
      <vt:lpstr>_transportationL_m_v1_aoi</vt:lpstr>
      <vt:lpstr>_transportationL_m_v1_aff</vt:lpstr>
      <vt:lpstr>_transportationP_m_v1_aoi</vt:lpstr>
      <vt:lpstr>_transportationP_m_v1_aff</vt:lpstr>
      <vt:lpstr>_facilitiesA_m_v1_aoi</vt:lpstr>
      <vt:lpstr>_facilitiesA_m_v1_aff</vt:lpstr>
      <vt:lpstr>_naturalLandUseA_v1_aoi</vt:lpstr>
      <vt:lpstr>_naturalLandUseA_v1_aff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 process1</dc:creator>
  <cp:lastModifiedBy>Harshitha Singu</cp:lastModifiedBy>
  <cp:lastPrinted>2020-10-14T12:56:37Z</cp:lastPrinted>
  <dcterms:created xsi:type="dcterms:W3CDTF">2017-04-13T10:25:13Z</dcterms:created>
  <dcterms:modified xsi:type="dcterms:W3CDTF">2026-09-29T07:41:17Z</dcterms:modified>
</cp:coreProperties>
</file>